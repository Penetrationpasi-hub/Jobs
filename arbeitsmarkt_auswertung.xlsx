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Region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'Zeitreihe'!$B$2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'Zeitreihe'!$C$2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'Zeitreihe'!$D$2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'Zeitreihe'!$E$2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Berufe (gesamt, aktuell)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'Aktuell'!$A$2:$A$11</f>
            </numRef>
          </cat>
          <val>
            <numRef>
              <f>'Aktuell'!$E$2:$E$11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46209</v>
      </c>
    </row>
    <row r="3">
      <c r="A3" s="3" t="inlineStr">
        <is>
          <t>Erhebungstage</t>
        </is>
      </c>
      <c r="B3" s="2" t="n">
        <v>1</v>
      </c>
    </row>
    <row r="4">
      <c r="A4" s="3" t="inlineStr">
        <is>
          <t>Regionen</t>
        </is>
      </c>
      <c r="B4" s="2" t="inlineStr">
        <is>
          <t>Ostalbkreis, Rems-Murr-Kreis, Waiblingen 15 km</t>
        </is>
      </c>
    </row>
    <row r="5">
      <c r="A5" s="3" t="inlineStr">
        <is>
          <t>Stellen je gesehen (Log)</t>
        </is>
      </c>
      <c r="B5" s="2" t="n">
        <v>14005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8" customWidth="1" min="4" max="4"/>
    <col width="13" customWidth="1" min="5" max="5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</t>
        </is>
      </c>
      <c r="E1" s="5" t="inlineStr">
        <is>
          <t>Gesamt</t>
        </is>
      </c>
    </row>
    <row r="2">
      <c r="A2" s="4" t="n">
        <v>46209</v>
      </c>
      <c r="B2" s="6" t="n">
        <v>5523</v>
      </c>
      <c r="C2" s="6" t="n">
        <v>8720</v>
      </c>
      <c r="D2" s="6" t="n">
        <v>10373</v>
      </c>
      <c r="E2" s="6">
        <f>SUM(B2:D2)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24" customWidth="1" min="6" max="6"/>
    <col width="22" customWidth="1" min="7" max="7"/>
    <col width="27" customWidth="1" min="8" max="8"/>
    <col width="45" customWidth="1" min="9" max="9"/>
    <col width="33" customWidth="1" min="10" max="10"/>
    <col width="21" customWidth="1" min="11" max="11"/>
    <col width="17" customWidth="1" min="12" max="12"/>
    <col width="13" customWidth="1" min="13" max="13"/>
    <col width="31" customWidth="1" min="14" max="14"/>
    <col width="26" customWidth="1" min="15" max="15"/>
    <col width="31" customWidth="1" min="16" max="16"/>
    <col width="43" customWidth="1" min="17" max="17"/>
    <col width="18" customWidth="1" min="18" max="18"/>
    <col width="36" customWidth="1" min="19" max="19"/>
    <col width="14" customWidth="1" min="20" max="20"/>
    <col width="45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Industriemechaniker/in</t>
        </is>
      </c>
      <c r="G1" s="5" t="inlineStr">
        <is>
          <t>Berufskraftfahrer/in</t>
        </is>
      </c>
      <c r="H1" s="5" t="inlineStr">
        <is>
          <t>Fachkraft - Lagerlogistik</t>
        </is>
      </c>
      <c r="I1" s="5" t="inlineStr">
        <is>
          <t>Maschinen- und Anlagenführer/in (ohne Angabe des Schwerpunkts)</t>
        </is>
      </c>
      <c r="J1" s="5" t="inlineStr">
        <is>
          <t>Lager- und Transportarbeiter/in</t>
        </is>
      </c>
      <c r="K1" s="5" t="inlineStr">
        <is>
          <t>Helfer/in - Verkauf</t>
        </is>
      </c>
      <c r="L1" s="5" t="inlineStr">
        <is>
          <t>Altenpfleger/in</t>
        </is>
      </c>
      <c r="M1" s="5" t="inlineStr">
        <is>
          <t>Erzieher/in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Ingenieur/in - Elektrotechnik</t>
        </is>
      </c>
      <c r="Q1" s="5" t="inlineStr">
        <is>
          <t>Filialleiter/in, Verkaufsstellenleiter/in</t>
        </is>
      </c>
      <c r="R1" s="5" t="inlineStr">
        <is>
          <t>Mechatroniker/in</t>
        </is>
      </c>
      <c r="S1" s="5" t="inlineStr">
        <is>
          <t>Gesundheits- und Krankenpfleger/in</t>
        </is>
      </c>
      <c r="T1" s="5" t="inlineStr">
        <is>
          <t>Montierer/in</t>
        </is>
      </c>
      <c r="U1" s="5" t="inlineStr">
        <is>
          <t>Elektroniker/in - Energie- und Gebäudetechnik</t>
        </is>
      </c>
    </row>
    <row r="2">
      <c r="A2" s="4" t="n">
        <v>46209</v>
      </c>
      <c r="B2" s="2" t="n">
        <v>1192</v>
      </c>
      <c r="C2" s="2" t="n">
        <v>819</v>
      </c>
      <c r="D2" s="2" t="n">
        <v>610</v>
      </c>
      <c r="E2" s="2" t="n">
        <v>591</v>
      </c>
      <c r="F2" s="2" t="n">
        <v>591</v>
      </c>
      <c r="G2" s="2" t="n">
        <v>473</v>
      </c>
      <c r="H2" s="2" t="n">
        <v>464</v>
      </c>
      <c r="I2" s="2" t="n">
        <v>433</v>
      </c>
      <c r="J2" s="2" t="n">
        <v>431</v>
      </c>
      <c r="K2" s="2" t="n">
        <v>431</v>
      </c>
      <c r="L2" s="2" t="n">
        <v>423</v>
      </c>
      <c r="M2" s="2" t="n">
        <v>422</v>
      </c>
      <c r="N2" s="2" t="n">
        <v>397</v>
      </c>
      <c r="O2" s="2" t="n">
        <v>389</v>
      </c>
      <c r="P2" s="2" t="n">
        <v>359</v>
      </c>
      <c r="Q2" s="2" t="n">
        <v>331</v>
      </c>
      <c r="R2" s="2" t="n">
        <v>310</v>
      </c>
      <c r="S2" s="2" t="n">
        <v>303</v>
      </c>
      <c r="T2" s="2" t="n">
        <v>301</v>
      </c>
      <c r="U2" s="2" t="n">
        <v>283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18" customWidth="1" min="4" max="4"/>
    <col width="15" customWidth="1" min="5" max="5"/>
    <col width="19" customWidth="1" min="6" max="6"/>
    <col width="20" customWidth="1" min="7" max="7"/>
    <col width="24" customWidth="1" min="8" max="8"/>
    <col width="24" customWidth="1" min="9" max="9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</t>
        </is>
      </c>
      <c r="E1" s="5" t="inlineStr">
        <is>
          <t>Gesamt</t>
        </is>
      </c>
      <c r="F1" s="5" t="inlineStr">
        <is>
          <t>Vor 7 Tagen (n/a)</t>
        </is>
      </c>
      <c r="G1" s="5" t="inlineStr">
        <is>
          <t>Vor 30 Tagen (n/a)</t>
        </is>
      </c>
      <c r="H1" s="5" t="inlineStr">
        <is>
          <t>Δ 7 Tage</t>
        </is>
      </c>
      <c r="I1" s="5" t="inlineStr">
        <is>
          <t>Δ 30 Tage</t>
        </is>
      </c>
    </row>
    <row r="2">
      <c r="A2" s="2" t="inlineStr">
        <is>
          <t>Verkäufer/in</t>
        </is>
      </c>
      <c r="B2" s="2" t="n">
        <v>210</v>
      </c>
      <c r="C2" s="2" t="n">
        <v>219</v>
      </c>
      <c r="D2" s="2" t="n">
        <v>166</v>
      </c>
      <c r="E2" s="2">
        <f>SUM(B2:D2)</f>
        <v/>
      </c>
      <c r="F2" s="2" t="n"/>
      <c r="G2" s="2" t="n"/>
      <c r="H2" s="2">
        <f>IF(F2="","",E2-F2)</f>
        <v/>
      </c>
      <c r="I2" s="2">
        <f>IF(G2="","",E2-G2)</f>
        <v/>
      </c>
    </row>
    <row r="3">
      <c r="A3" s="2" t="inlineStr">
        <is>
          <t>Gabelstaplerfahrer/in</t>
        </is>
      </c>
      <c r="B3" s="2" t="n">
        <v>169</v>
      </c>
      <c r="C3" s="2" t="n">
        <v>139</v>
      </c>
      <c r="D3" s="2" t="n">
        <v>103</v>
      </c>
      <c r="E3" s="2">
        <f>SUM(B3:D3)</f>
        <v/>
      </c>
      <c r="F3" s="2" t="n"/>
      <c r="G3" s="2" t="n"/>
      <c r="H3" s="2">
        <f>IF(F3="","",E3-F3)</f>
        <v/>
      </c>
      <c r="I3" s="2">
        <f>IF(G3="","",E3-G3)</f>
        <v/>
      </c>
    </row>
    <row r="4">
      <c r="A4" s="2" t="inlineStr">
        <is>
          <t>Helfer/in - Lagerwirtschaft, Transport</t>
        </is>
      </c>
      <c r="B4" s="2" t="n">
        <v>98</v>
      </c>
      <c r="C4" s="2" t="n">
        <v>121</v>
      </c>
      <c r="D4" s="2" t="n">
        <v>88</v>
      </c>
      <c r="E4" s="2">
        <f>SUM(B4:D4)</f>
        <v/>
      </c>
      <c r="F4" s="2" t="n"/>
      <c r="G4" s="2" t="n"/>
      <c r="H4" s="2">
        <f>IF(F4="","",E4-F4)</f>
        <v/>
      </c>
      <c r="I4" s="2">
        <f>IF(G4="","",E4-G4)</f>
        <v/>
      </c>
    </row>
    <row r="5">
      <c r="A5" s="2" t="inlineStr">
        <is>
          <t>Helfer/in - Reinigung</t>
        </is>
      </c>
      <c r="B5" s="2" t="n">
        <v>113</v>
      </c>
      <c r="C5" s="2" t="n">
        <v>96</v>
      </c>
      <c r="D5" s="2" t="n">
        <v>85</v>
      </c>
      <c r="E5" s="2">
        <f>SUM(B5:D5)</f>
        <v/>
      </c>
      <c r="F5" s="2" t="n"/>
      <c r="G5" s="2" t="n"/>
      <c r="H5" s="2">
        <f>IF(F5="","",E5-F5)</f>
        <v/>
      </c>
      <c r="I5" s="2">
        <f>IF(G5="","",E5-G5)</f>
        <v/>
      </c>
    </row>
    <row r="6">
      <c r="A6" s="2" t="inlineStr">
        <is>
          <t>Industriemechaniker/in</t>
        </is>
      </c>
      <c r="B6" s="2" t="n">
        <v>125</v>
      </c>
      <c r="C6" s="2" t="n">
        <v>106</v>
      </c>
      <c r="D6" s="2" t="n">
        <v>65</v>
      </c>
      <c r="E6" s="2">
        <f>SUM(B6:D6)</f>
        <v/>
      </c>
      <c r="F6" s="2" t="n"/>
      <c r="G6" s="2" t="n"/>
      <c r="H6" s="2">
        <f>IF(F6="","",E6-F6)</f>
        <v/>
      </c>
      <c r="I6" s="2">
        <f>IF(G6="","",E6-G6)</f>
        <v/>
      </c>
    </row>
    <row r="7">
      <c r="A7" s="2" t="inlineStr">
        <is>
          <t>Berufskraftfahrer/in</t>
        </is>
      </c>
      <c r="B7" s="2" t="n">
        <v>105</v>
      </c>
      <c r="C7" s="2" t="n">
        <v>75</v>
      </c>
      <c r="D7" s="2" t="n">
        <v>57</v>
      </c>
      <c r="E7" s="2">
        <f>SUM(B7:D7)</f>
        <v/>
      </c>
      <c r="F7" s="2" t="n"/>
      <c r="G7" s="2" t="n"/>
      <c r="H7" s="2">
        <f>IF(F7="","",E7-F7)</f>
        <v/>
      </c>
      <c r="I7" s="2">
        <f>IF(G7="","",E7-G7)</f>
        <v/>
      </c>
    </row>
    <row r="8">
      <c r="A8" s="2" t="inlineStr">
        <is>
          <t>Fachkraft - Lagerlogistik</t>
        </is>
      </c>
      <c r="B8" s="2" t="n">
        <v>96</v>
      </c>
      <c r="C8" s="2" t="n">
        <v>79</v>
      </c>
      <c r="D8" s="2" t="n">
        <v>57</v>
      </c>
      <c r="E8" s="2">
        <f>SUM(B8:D8)</f>
        <v/>
      </c>
      <c r="F8" s="2" t="n"/>
      <c r="G8" s="2" t="n"/>
      <c r="H8" s="2">
        <f>IF(F8="","",E8-F8)</f>
        <v/>
      </c>
      <c r="I8" s="2">
        <f>IF(G8="","",E8-G8)</f>
        <v/>
      </c>
    </row>
    <row r="9">
      <c r="A9" s="2" t="inlineStr">
        <is>
          <t>Maschinen- und Anlagenführer/in (ohne Angabe des Schwerpunkts)</t>
        </is>
      </c>
      <c r="B9" s="2" t="n">
        <v>110</v>
      </c>
      <c r="C9" s="2" t="n">
        <v>65</v>
      </c>
      <c r="D9" s="2" t="n">
        <v>44</v>
      </c>
      <c r="E9" s="2">
        <f>SUM(B9:D9)</f>
        <v/>
      </c>
      <c r="F9" s="2" t="n"/>
      <c r="G9" s="2" t="n"/>
      <c r="H9" s="2">
        <f>IF(F9="","",E9-F9)</f>
        <v/>
      </c>
      <c r="I9" s="2">
        <f>IF(G9="","",E9-G9)</f>
        <v/>
      </c>
    </row>
    <row r="10">
      <c r="A10" s="2" t="inlineStr">
        <is>
          <t>Lager- und Transportarbeiter/in</t>
        </is>
      </c>
      <c r="B10" s="2" t="n">
        <v>74</v>
      </c>
      <c r="C10" s="2" t="n">
        <v>80</v>
      </c>
      <c r="D10" s="2" t="n">
        <v>63</v>
      </c>
      <c r="E10" s="2">
        <f>SUM(B10:D10)</f>
        <v/>
      </c>
      <c r="F10" s="2" t="n"/>
      <c r="G10" s="2" t="n"/>
      <c r="H10" s="2">
        <f>IF(F10="","",E10-F10)</f>
        <v/>
      </c>
      <c r="I10" s="2">
        <f>IF(G10="","",E10-G10)</f>
        <v/>
      </c>
    </row>
    <row r="11">
      <c r="A11" s="2" t="inlineStr">
        <is>
          <t>Helfer/in - Verkauf</t>
        </is>
      </c>
      <c r="B11" s="2" t="n">
        <v>72</v>
      </c>
      <c r="C11" s="2" t="n">
        <v>82</v>
      </c>
      <c r="D11" s="2" t="n">
        <v>57</v>
      </c>
      <c r="E11" s="2">
        <f>SUM(B11:D11)</f>
        <v/>
      </c>
      <c r="F11" s="2" t="n"/>
      <c r="G11" s="2" t="n"/>
      <c r="H11" s="2">
        <f>IF(F11="","",E11-F11)</f>
        <v/>
      </c>
      <c r="I11" s="2">
        <f>IF(G11="","",E11-G11)</f>
        <v/>
      </c>
    </row>
    <row r="12">
      <c r="A12" s="2" t="inlineStr">
        <is>
          <t>Altenpfleger/in</t>
        </is>
      </c>
      <c r="B12" s="2" t="n">
        <v>41</v>
      </c>
      <c r="C12" s="2" t="n">
        <v>90</v>
      </c>
      <c r="D12" s="2" t="n">
        <v>81</v>
      </c>
      <c r="E12" s="2">
        <f>SUM(B12:D12)</f>
        <v/>
      </c>
      <c r="F12" s="2" t="n"/>
      <c r="G12" s="2" t="n"/>
      <c r="H12" s="2">
        <f>IF(F12="","",E12-F12)</f>
        <v/>
      </c>
      <c r="I12" s="2">
        <f>IF(G12="","",E12-G12)</f>
        <v/>
      </c>
    </row>
    <row r="13">
      <c r="A13" s="2" t="inlineStr">
        <is>
          <t>Erzieher/in</t>
        </is>
      </c>
      <c r="B13" s="2" t="n">
        <v>15</v>
      </c>
      <c r="C13" s="2" t="n">
        <v>81</v>
      </c>
      <c r="D13" s="2" t="n">
        <v>116</v>
      </c>
      <c r="E13" s="2">
        <f>SUM(B13:D13)</f>
        <v/>
      </c>
      <c r="F13" s="2" t="n"/>
      <c r="G13" s="2" t="n"/>
      <c r="H13" s="2">
        <f>IF(F13="","",E13-F13)</f>
        <v/>
      </c>
      <c r="I13" s="2">
        <f>IF(G13="","",E13-G13)</f>
        <v/>
      </c>
    </row>
    <row r="14">
      <c r="A14" s="2" t="inlineStr">
        <is>
          <t>Helfer/in - Metallbearbeitung</t>
        </is>
      </c>
      <c r="B14" s="2" t="n">
        <v>90</v>
      </c>
      <c r="C14" s="2" t="n">
        <v>70</v>
      </c>
      <c r="D14" s="2" t="n">
        <v>38</v>
      </c>
      <c r="E14" s="2">
        <f>SUM(B14:D14)</f>
        <v/>
      </c>
      <c r="F14" s="2" t="n"/>
      <c r="G14" s="2" t="n"/>
      <c r="H14" s="2">
        <f>IF(F14="","",E14-F14)</f>
        <v/>
      </c>
      <c r="I14" s="2">
        <f>IF(G14="","",E14-G14)</f>
        <v/>
      </c>
    </row>
    <row r="15">
      <c r="A15" s="2" t="inlineStr">
        <is>
          <t>Zerspanungsmechaniker/in</t>
        </is>
      </c>
      <c r="B15" s="2" t="n">
        <v>111</v>
      </c>
      <c r="C15" s="2" t="n">
        <v>51</v>
      </c>
      <c r="D15" s="2" t="n">
        <v>33</v>
      </c>
      <c r="E15" s="2">
        <f>SUM(B15:D15)</f>
        <v/>
      </c>
      <c r="F15" s="2" t="n"/>
      <c r="G15" s="2" t="n"/>
      <c r="H15" s="2">
        <f>IF(F15="","",E15-F15)</f>
        <v/>
      </c>
      <c r="I15" s="2">
        <f>IF(G15="","",E15-G15)</f>
        <v/>
      </c>
    </row>
    <row r="16">
      <c r="A16" s="2" t="inlineStr">
        <is>
          <t>Ingenieur/in - Elektrotechnik</t>
        </is>
      </c>
      <c r="B16" s="2" t="n">
        <v>18</v>
      </c>
      <c r="C16" s="2" t="n">
        <v>63</v>
      </c>
      <c r="D16" s="2" t="n">
        <v>94</v>
      </c>
      <c r="E16" s="2">
        <f>SUM(B16:D16)</f>
        <v/>
      </c>
      <c r="F16" s="2" t="n"/>
      <c r="G16" s="2" t="n"/>
      <c r="H16" s="2">
        <f>IF(F16="","",E16-F16)</f>
        <v/>
      </c>
      <c r="I16" s="2">
        <f>IF(G16="","",E16-G16)</f>
        <v/>
      </c>
    </row>
    <row r="17">
      <c r="A17" s="2" t="inlineStr">
        <is>
          <t>Filialleiter/in, Verkaufsstellenleiter/in</t>
        </is>
      </c>
      <c r="B17" s="2" t="n">
        <v>81</v>
      </c>
      <c r="C17" s="2" t="n">
        <v>45</v>
      </c>
      <c r="D17" s="2" t="n">
        <v>37</v>
      </c>
      <c r="E17" s="2">
        <f>SUM(B17:D17)</f>
        <v/>
      </c>
      <c r="F17" s="2" t="n"/>
      <c r="G17" s="2" t="n"/>
      <c r="H17" s="2">
        <f>IF(F17="","",E17-F17)</f>
        <v/>
      </c>
      <c r="I17" s="2">
        <f>IF(G17="","",E17-G17)</f>
        <v/>
      </c>
    </row>
    <row r="18">
      <c r="A18" s="2" t="inlineStr">
        <is>
          <t>Mechatroniker/in</t>
        </is>
      </c>
      <c r="B18" s="2" t="n">
        <v>55</v>
      </c>
      <c r="C18" s="2" t="n">
        <v>53</v>
      </c>
      <c r="D18" s="2" t="n">
        <v>46</v>
      </c>
      <c r="E18" s="2">
        <f>SUM(B18:D18)</f>
        <v/>
      </c>
      <c r="F18" s="2" t="n"/>
      <c r="G18" s="2" t="n"/>
      <c r="H18" s="2">
        <f>IF(F18="","",E18-F18)</f>
        <v/>
      </c>
      <c r="I18" s="2">
        <f>IF(G18="","",E18-G18)</f>
        <v/>
      </c>
    </row>
    <row r="19">
      <c r="A19" s="2" t="inlineStr">
        <is>
          <t>Gesundheits- und Krankenpfleger/in</t>
        </is>
      </c>
      <c r="B19" s="2" t="n">
        <v>36</v>
      </c>
      <c r="C19" s="2" t="n">
        <v>54</v>
      </c>
      <c r="D19" s="2" t="n">
        <v>61</v>
      </c>
      <c r="E19" s="2">
        <f>SUM(B19:D19)</f>
        <v/>
      </c>
      <c r="F19" s="2" t="n"/>
      <c r="G19" s="2" t="n"/>
      <c r="H19" s="2">
        <f>IF(F19="","",E19-F19)</f>
        <v/>
      </c>
      <c r="I19" s="2">
        <f>IF(G19="","",E19-G19)</f>
        <v/>
      </c>
    </row>
    <row r="20">
      <c r="A20" s="2" t="inlineStr">
        <is>
          <t>Montierer/in</t>
        </is>
      </c>
      <c r="B20" s="2" t="n">
        <v>59</v>
      </c>
      <c r="C20" s="2" t="n">
        <v>50</v>
      </c>
      <c r="D20" s="2" t="n">
        <v>42</v>
      </c>
      <c r="E20" s="2">
        <f>SUM(B20:D20)</f>
        <v/>
      </c>
      <c r="F20" s="2" t="n"/>
      <c r="G20" s="2" t="n"/>
      <c r="H20" s="2">
        <f>IF(F20="","",E20-F20)</f>
        <v/>
      </c>
      <c r="I20" s="2">
        <f>IF(G20="","",E20-G20)</f>
        <v/>
      </c>
    </row>
    <row r="21">
      <c r="A21" s="2" t="inlineStr">
        <is>
          <t>Elektroniker/in - Energie- und Gebäudetechnik</t>
        </is>
      </c>
      <c r="B21" s="2" t="n">
        <v>36</v>
      </c>
      <c r="C21" s="2" t="n">
        <v>58</v>
      </c>
      <c r="D21" s="2" t="n">
        <v>48</v>
      </c>
      <c r="E21" s="2">
        <f>SUM(B21:D21)</f>
        <v/>
      </c>
      <c r="F21" s="2" t="n"/>
      <c r="G21" s="2" t="n"/>
      <c r="H21" s="2">
        <f>IF(F21="","",E21-F21)</f>
        <v/>
      </c>
      <c r="I21" s="2">
        <f>IF(G21="","",E21-G21)</f>
        <v/>
      </c>
    </row>
    <row r="22">
      <c r="A22" s="2" t="inlineStr">
        <is>
          <t>Fachlagerist/in</t>
        </is>
      </c>
      <c r="B22" s="2" t="n">
        <v>55</v>
      </c>
      <c r="C22" s="2" t="n">
        <v>45</v>
      </c>
      <c r="D22" s="2" t="n">
        <v>37</v>
      </c>
      <c r="E22" s="2">
        <f>SUM(B22:D22)</f>
        <v/>
      </c>
      <c r="F22" s="2" t="n"/>
      <c r="G22" s="2" t="n"/>
      <c r="H22" s="2">
        <f>IF(F22="","",E22-F22)</f>
        <v/>
      </c>
      <c r="I22" s="2">
        <f>IF(G22="","",E22-G22)</f>
        <v/>
      </c>
    </row>
    <row r="23">
      <c r="A23" s="2" t="inlineStr">
        <is>
          <t>Anlagenmechaniker/in - Sanitär-, Heizungs- und Klimatechnik</t>
        </is>
      </c>
      <c r="B23" s="2" t="n">
        <v>39</v>
      </c>
      <c r="C23" s="2" t="n">
        <v>44</v>
      </c>
      <c r="D23" s="2" t="n">
        <v>52</v>
      </c>
      <c r="E23" s="2">
        <f>SUM(B23:D23)</f>
        <v/>
      </c>
      <c r="F23" s="2" t="n"/>
      <c r="G23" s="2" t="n"/>
      <c r="H23" s="2">
        <f>IF(F23="","",E23-F23)</f>
        <v/>
      </c>
      <c r="I23" s="2">
        <f>IF(G23="","",E23-G23)</f>
        <v/>
      </c>
    </row>
    <row r="24">
      <c r="A24" s="2" t="inlineStr">
        <is>
          <t>Medizinische/r Fachangestellte/r</t>
        </is>
      </c>
      <c r="B24" s="2" t="n">
        <v>40</v>
      </c>
      <c r="C24" s="2" t="n">
        <v>43</v>
      </c>
      <c r="D24" s="2" t="n">
        <v>50</v>
      </c>
      <c r="E24" s="2">
        <f>SUM(B24:D24)</f>
        <v/>
      </c>
      <c r="F24" s="2" t="n"/>
      <c r="G24" s="2" t="n"/>
      <c r="H24" s="2">
        <f>IF(F24="","",E24-F24)</f>
        <v/>
      </c>
      <c r="I24" s="2">
        <f>IF(G24="","",E24-G24)</f>
        <v/>
      </c>
    </row>
    <row r="25">
      <c r="A25" s="2" t="inlineStr">
        <is>
          <t>Elektroniker/in - Betriebstechnik</t>
        </is>
      </c>
      <c r="B25" s="2" t="n">
        <v>45</v>
      </c>
      <c r="C25" s="2" t="n">
        <v>46</v>
      </c>
      <c r="D25" s="2" t="n">
        <v>44</v>
      </c>
      <c r="E25" s="2">
        <f>SUM(B25:D25)</f>
        <v/>
      </c>
      <c r="F25" s="2" t="n"/>
      <c r="G25" s="2" t="n"/>
      <c r="H25" s="2">
        <f>IF(F25="","",E25-F25)</f>
        <v/>
      </c>
      <c r="I25" s="2">
        <f>IF(G25="","",E25-G25)</f>
        <v/>
      </c>
    </row>
    <row r="26">
      <c r="A26" s="2" t="inlineStr">
        <is>
          <t>Bürokaufmann/-frau</t>
        </is>
      </c>
      <c r="B26" s="2" t="n">
        <v>33</v>
      </c>
      <c r="C26" s="2" t="n">
        <v>47</v>
      </c>
      <c r="D26" s="2" t="n">
        <v>45</v>
      </c>
      <c r="E26" s="2">
        <f>SUM(B26:D26)</f>
        <v/>
      </c>
      <c r="F26" s="2" t="n"/>
      <c r="G26" s="2" t="n"/>
      <c r="H26" s="2">
        <f>IF(F26="","",E26-F26)</f>
        <v/>
      </c>
      <c r="I26" s="2">
        <f>IF(G26="","",E26-G26)</f>
        <v/>
      </c>
    </row>
    <row r="27">
      <c r="A27" s="2" t="inlineStr">
        <is>
          <t>Koch/Köchin</t>
        </is>
      </c>
      <c r="B27" s="2" t="n">
        <v>42</v>
      </c>
      <c r="C27" s="2" t="n">
        <v>44</v>
      </c>
      <c r="D27" s="2" t="n">
        <v>40</v>
      </c>
      <c r="E27" s="2">
        <f>SUM(B27:D27)</f>
        <v/>
      </c>
      <c r="F27" s="2" t="n"/>
      <c r="G27" s="2" t="n"/>
      <c r="H27" s="2">
        <f>IF(F27="","",E27-F27)</f>
        <v/>
      </c>
      <c r="I27" s="2">
        <f>IF(G27="","",E27-G27)</f>
        <v/>
      </c>
    </row>
    <row r="28">
      <c r="A28" s="2" t="inlineStr">
        <is>
          <t>Helfer/in - Elektro</t>
        </is>
      </c>
      <c r="B28" s="2" t="n">
        <v>23</v>
      </c>
      <c r="C28" s="2" t="n">
        <v>51</v>
      </c>
      <c r="D28" s="2" t="n">
        <v>35</v>
      </c>
      <c r="E28" s="2">
        <f>SUM(B28:D28)</f>
        <v/>
      </c>
      <c r="F28" s="2" t="n"/>
      <c r="G28" s="2" t="n"/>
      <c r="H28" s="2">
        <f>IF(F28="","",E28-F28)</f>
        <v/>
      </c>
      <c r="I28" s="2">
        <f>IF(G28="","",E28-G28)</f>
        <v/>
      </c>
    </row>
    <row r="29">
      <c r="A29" s="2" t="inlineStr">
        <is>
          <t>Sozialarbeiter/in / Sozialpädagoge/-pädagogin</t>
        </is>
      </c>
      <c r="B29" s="2" t="n">
        <v>14</v>
      </c>
      <c r="C29" s="2" t="n">
        <v>40</v>
      </c>
      <c r="D29" s="2" t="n">
        <v>51</v>
      </c>
      <c r="E29" s="2">
        <f>SUM(B29:D29)</f>
        <v/>
      </c>
      <c r="F29" s="2" t="n"/>
      <c r="G29" s="2" t="n"/>
      <c r="H29" s="2">
        <f>IF(F29="","",E29-F29)</f>
        <v/>
      </c>
      <c r="I29" s="2">
        <f>IF(G29="","",E29-G29)</f>
        <v/>
      </c>
    </row>
    <row r="30">
      <c r="A30" s="2" t="inlineStr">
        <is>
          <t>Altenpflegehelfer/in</t>
        </is>
      </c>
      <c r="B30" s="2" t="n">
        <v>36</v>
      </c>
      <c r="C30" s="2" t="n">
        <v>35</v>
      </c>
      <c r="D30" s="2" t="n">
        <v>34</v>
      </c>
      <c r="E30" s="2">
        <f>SUM(B30:D30)</f>
        <v/>
      </c>
      <c r="F30" s="2" t="n"/>
      <c r="G30" s="2" t="n"/>
      <c r="H30" s="2">
        <f>IF(F30="","",E30-F30)</f>
        <v/>
      </c>
      <c r="I30" s="2">
        <f>IF(G30="","",E30-G30)</f>
        <v/>
      </c>
    </row>
    <row r="31">
      <c r="A31" s="2" t="inlineStr">
        <is>
          <t>Kaufmännische Fachkraft</t>
        </is>
      </c>
      <c r="B31" s="2" t="n">
        <v>32</v>
      </c>
      <c r="C31" s="2" t="n">
        <v>39</v>
      </c>
      <c r="D31" s="2" t="n">
        <v>33</v>
      </c>
      <c r="E31" s="2">
        <f>SUM(B31:D31)</f>
        <v/>
      </c>
      <c r="F31" s="2" t="n"/>
      <c r="G31" s="2" t="n"/>
      <c r="H31" s="2">
        <f>IF(F31="","",E31-F31)</f>
        <v/>
      </c>
      <c r="I31" s="2">
        <f>IF(G31="","",E31-G31)</f>
        <v/>
      </c>
    </row>
    <row r="32">
      <c r="A32" s="2" t="inlineStr">
        <is>
          <t>Schweißer/in</t>
        </is>
      </c>
      <c r="B32" s="2" t="n">
        <v>62</v>
      </c>
      <c r="C32" s="2" t="n">
        <v>23</v>
      </c>
      <c r="D32" s="2" t="n">
        <v>18</v>
      </c>
      <c r="E32" s="2">
        <f>SUM(B32:D32)</f>
        <v/>
      </c>
      <c r="F32" s="2" t="n"/>
      <c r="G32" s="2" t="n"/>
      <c r="H32" s="2">
        <f>IF(F32="","",E32-F32)</f>
        <v/>
      </c>
      <c r="I32" s="2">
        <f>IF(G32="","",E32-G32)</f>
        <v/>
      </c>
    </row>
    <row r="33">
      <c r="A33" s="2" t="inlineStr">
        <is>
          <t>Anlagenmechaniker/in</t>
        </is>
      </c>
      <c r="B33" s="2" t="n">
        <v>29</v>
      </c>
      <c r="C33" s="2" t="n">
        <v>40</v>
      </c>
      <c r="D33" s="2" t="n">
        <v>32</v>
      </c>
      <c r="E33" s="2">
        <f>SUM(B33:D33)</f>
        <v/>
      </c>
      <c r="F33" s="2" t="n"/>
      <c r="G33" s="2" t="n"/>
      <c r="H33" s="2">
        <f>IF(F33="","",E33-F33)</f>
        <v/>
      </c>
      <c r="I33" s="2">
        <f>IF(G33="","",E33-G33)</f>
        <v/>
      </c>
    </row>
    <row r="34">
      <c r="A34" s="2" t="inlineStr">
        <is>
          <t>CNC-Dreher/in</t>
        </is>
      </c>
      <c r="B34" s="2" t="n">
        <v>29</v>
      </c>
      <c r="C34" s="2" t="n">
        <v>44</v>
      </c>
      <c r="D34" s="2" t="n">
        <v>30</v>
      </c>
      <c r="E34" s="2">
        <f>SUM(B34:D34)</f>
        <v/>
      </c>
      <c r="F34" s="2" t="n"/>
      <c r="G34" s="2" t="n"/>
      <c r="H34" s="2">
        <f>IF(F34="","",E34-F34)</f>
        <v/>
      </c>
      <c r="I34" s="2">
        <f>IF(G34="","",E34-G34)</f>
        <v/>
      </c>
    </row>
    <row r="35">
      <c r="A35" s="2" t="inlineStr">
        <is>
          <t>Pflegefachmann/-frau (Altenpflege)</t>
        </is>
      </c>
      <c r="B35" s="2" t="n">
        <v>37</v>
      </c>
      <c r="C35" s="2" t="n">
        <v>34</v>
      </c>
      <c r="D35" s="2" t="n">
        <v>30</v>
      </c>
      <c r="E35" s="2">
        <f>SUM(B35:D35)</f>
        <v/>
      </c>
      <c r="F35" s="2" t="n"/>
      <c r="G35" s="2" t="n"/>
      <c r="H35" s="2">
        <f>IF(F35="","",E35-F35)</f>
        <v/>
      </c>
      <c r="I35" s="2">
        <f>IF(G35="","",E35-G35)</f>
        <v/>
      </c>
    </row>
    <row r="36">
      <c r="A36" s="2" t="inlineStr">
        <is>
          <t>Maschinen- und Anlagenführer/in - Metall-, Kunststofftechnik</t>
        </is>
      </c>
      <c r="B36" s="2" t="n">
        <v>32</v>
      </c>
      <c r="C36" s="2" t="n">
        <v>46</v>
      </c>
      <c r="D36" s="2" t="n">
        <v>25</v>
      </c>
      <c r="E36" s="2">
        <f>SUM(B36:D36)</f>
        <v/>
      </c>
      <c r="F36" s="2" t="n"/>
      <c r="G36" s="2" t="n"/>
      <c r="H36" s="2">
        <f>IF(F36="","",E36-F36)</f>
        <v/>
      </c>
      <c r="I36" s="2">
        <f>IF(G36="","",E36-G36)</f>
        <v/>
      </c>
    </row>
    <row r="37">
      <c r="A37" s="2" t="inlineStr">
        <is>
          <t>IT-Systemadministrator/in</t>
        </is>
      </c>
      <c r="B37" s="2" t="n">
        <v>13</v>
      </c>
      <c r="C37" s="2" t="n">
        <v>23</v>
      </c>
      <c r="D37" s="2" t="n">
        <v>65</v>
      </c>
      <c r="E37" s="2">
        <f>SUM(B37:D37)</f>
        <v/>
      </c>
      <c r="F37" s="2" t="n"/>
      <c r="G37" s="2" t="n"/>
      <c r="H37" s="2">
        <f>IF(F37="","",E37-F37)</f>
        <v/>
      </c>
      <c r="I37" s="2">
        <f>IF(G37="","",E37-G37)</f>
        <v/>
      </c>
    </row>
    <row r="38">
      <c r="A38" s="2" t="inlineStr">
        <is>
          <t>Elektroanlagenmonteur/in</t>
        </is>
      </c>
      <c r="B38" s="2" t="n">
        <v>2</v>
      </c>
      <c r="C38" s="2" t="n">
        <v>12</v>
      </c>
      <c r="D38" s="2" t="n">
        <v>85</v>
      </c>
      <c r="E38" s="2">
        <f>SUM(B38:D38)</f>
        <v/>
      </c>
      <c r="F38" s="2" t="n"/>
      <c r="G38" s="2" t="n"/>
      <c r="H38" s="2">
        <f>IF(F38="","",E38-F38)</f>
        <v/>
      </c>
      <c r="I38" s="2">
        <f>IF(G38="","",E38-G38)</f>
        <v/>
      </c>
    </row>
    <row r="39">
      <c r="A39" s="2" t="inlineStr">
        <is>
          <t>Kaufmann/-frau - Büromanagement</t>
        </is>
      </c>
      <c r="B39" s="2" t="n">
        <v>25</v>
      </c>
      <c r="C39" s="2" t="n">
        <v>33</v>
      </c>
      <c r="D39" s="2" t="n">
        <v>39</v>
      </c>
      <c r="E39" s="2">
        <f>SUM(B39:D39)</f>
        <v/>
      </c>
      <c r="F39" s="2" t="n"/>
      <c r="G39" s="2" t="n"/>
      <c r="H39" s="2">
        <f>IF(F39="","",E39-F39)</f>
        <v/>
      </c>
      <c r="I39" s="2">
        <f>IF(G39="","",E39-G39)</f>
        <v/>
      </c>
    </row>
    <row r="40">
      <c r="A40" s="2" t="inlineStr">
        <is>
          <t>Buchhalter/in</t>
        </is>
      </c>
      <c r="B40" s="2" t="n">
        <v>32</v>
      </c>
      <c r="C40" s="2" t="n">
        <v>30</v>
      </c>
      <c r="D40" s="2" t="n">
        <v>35</v>
      </c>
      <c r="E40" s="2">
        <f>SUM(B40:D40)</f>
        <v/>
      </c>
      <c r="F40" s="2" t="n"/>
      <c r="G40" s="2" t="n"/>
      <c r="H40" s="2">
        <f>IF(F40="","",E40-F40)</f>
        <v/>
      </c>
      <c r="I40" s="2">
        <f>IF(G40="","",E40-G40)</f>
        <v/>
      </c>
    </row>
    <row r="41">
      <c r="A41" s="2" t="inlineStr">
        <is>
          <t>Industriekaufmann/-frau</t>
        </is>
      </c>
      <c r="B41" s="2" t="n">
        <v>30</v>
      </c>
      <c r="C41" s="2" t="n">
        <v>36</v>
      </c>
      <c r="D41" s="2" t="n">
        <v>30</v>
      </c>
      <c r="E41" s="2">
        <f>SUM(B41:D41)</f>
        <v/>
      </c>
      <c r="F41" s="2" t="n"/>
      <c r="G41" s="2" t="n"/>
      <c r="H41" s="2">
        <f>IF(F41="","",E41-F41)</f>
        <v/>
      </c>
      <c r="I41" s="2">
        <f>IF(G41="","",E41-G41)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46209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46209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46209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46209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46209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46209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46209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46209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46209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46209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46209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46209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46209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46209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46209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46209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46209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46209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46209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46209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46209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46209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46209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46209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46209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46209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46209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46209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46209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46209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46209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46209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46209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46209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46209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46209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46209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46209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46209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46209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46209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46209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46209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46209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46209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46209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46209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46209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46209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46209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46209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46209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46209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46209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46209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46209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46209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46209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46209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46209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46209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46209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46209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46209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46209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46209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46209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46209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46209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46209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46209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46209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46209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46209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46209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46209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46209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46209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46209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46209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46209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46209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46209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46209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46209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46209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46209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46209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46209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46209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46209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46209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46209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46209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46209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46209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46209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46209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46209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46209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46209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46209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46209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46209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46209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46209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46209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46209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46209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46209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46209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46209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46209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46209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46209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46209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46209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46209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46209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46209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46209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46209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46209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46209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46209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46209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46209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46209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46209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46209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46209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46209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46209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46209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46209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46209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46209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46209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46209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46209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46209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46209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46209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46209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46209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46209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46209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46209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46209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46209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46209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46209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46209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46209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46209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46209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46209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46209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46209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46209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46209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46209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46209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46209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46209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46209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46209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46209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46209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46209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46209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46209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46209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46209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46209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46209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46209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46209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46209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46209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46209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46209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46209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46209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46209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46209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46209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46209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46209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46209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46209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46209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46209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46209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46209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46209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46209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46209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46209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46209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46209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46209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46209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46209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46209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46209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46209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46209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46209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46209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46209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46209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46209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46209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46209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46209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46209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46209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46209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46209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46209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46209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46209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46209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46209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46209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46209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46209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46209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46209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46209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46209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46209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46209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46209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46209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46209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46209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46209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46209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46209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46209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46209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46209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46209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46209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46209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46209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46209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46209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46209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46209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46209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46209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46209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46209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46209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46209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46209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46209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46209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46209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46209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46209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46209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46209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46209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46209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46209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46209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46209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46209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46209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46209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46209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46209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46209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46209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46209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46209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46209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46209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46209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46209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46209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46209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46209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46209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46209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46209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46209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46209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46209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46209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46209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46209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46209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46209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46209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46209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46209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46209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46209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46209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46209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46209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46209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46209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46209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46209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46209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46209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46209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46209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46209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46209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46209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46209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46209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46209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46209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46209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46209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46209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46209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46209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46209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46209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46209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46209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46209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46209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46209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46209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46209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46209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46209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46209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46209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46209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46209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46209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46209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46209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46209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46209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46209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46209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46209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46209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46209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46209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46209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46209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46209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46209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46209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46209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46209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46209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46209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46209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46209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46209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46209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46209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46209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46209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46209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46209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46209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46209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46209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46209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46209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46209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46209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46209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46209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46209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46209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46209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46209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46209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46209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46209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46209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46209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46209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46209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46209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46209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46209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46209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46209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46209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46209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46209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46209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46209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46209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46209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46209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46209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46209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46209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46209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46209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46209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46209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46209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46209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46209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46209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46209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46209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46209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46209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46209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46209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46209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46209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46209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46209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46209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46209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46209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46209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46209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46209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46209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46209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46209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46209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46209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46209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46209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46209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46209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46209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46209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46209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46209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46209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46209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46209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46209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46209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46209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46209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46209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46209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46209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46209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46209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46209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46209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46209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46209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46209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46209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46209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46209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46209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46209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46209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46209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46209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46209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46209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46209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46209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46209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46209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46209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46209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46209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46209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46209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46209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46209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46209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46209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46209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46209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46209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46209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46209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46209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46209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46209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46209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46209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46209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46209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46209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46209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46209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46209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46209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46209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46209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46209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46209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46209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46209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46209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46209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46209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46209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46209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46209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46209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46209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46209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46209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46209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46209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46209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46209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46209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46209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46209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46209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46209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46209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46209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46209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46209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46209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46209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46209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46209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46209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46209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46209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46209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46209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46209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46209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46209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46209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46209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46209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46209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46209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46209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46209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46209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46209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46209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46209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46209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46209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46209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46209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46209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46209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46209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46209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46209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46209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46209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46209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46209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46209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46209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46209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46209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46209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46209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46209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46209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46209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46209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46209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46209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46209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46209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46209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46209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46209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46209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46209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46209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46209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46209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46209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46209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46209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46209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46209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46209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46209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46209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46209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46209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46209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46209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46209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46209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46209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46209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46209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46209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46209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46209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46209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46209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46209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46209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46209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46209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46209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46209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46209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46209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46209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46209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46209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46209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46209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46209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46209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46209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46209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46209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46209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46209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46209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46209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46209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46209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46209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46209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46209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46209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46209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46209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46209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46209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46209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46209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46209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46209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46209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46209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46209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46209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46209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46209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46209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46209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46209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46209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46209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46209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46209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46209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46209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46209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46209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46209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46209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46209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46209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46209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46209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46209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46209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46209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46209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46209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46209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46209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46209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46209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46209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46209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46209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46209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46209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46209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46209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46209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46209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46209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46209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46209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46209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46209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46209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46209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46209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46209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46209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46209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46209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46209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46209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46209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46209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46209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46209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46209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46209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46209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46209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46209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46209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46209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46209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46209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46209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46209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46209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46209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46209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46209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46209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46209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46209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46209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46209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46209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46209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46209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46209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46209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46209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46209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46209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46209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46209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46209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46209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46209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46209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46209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46209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46209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46209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46209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46209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46209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46209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46209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46209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46209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46209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46209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46209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46209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46209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46209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46209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46209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46209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46209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46209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46209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46209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46209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46209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46209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46209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46209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46209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46209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46209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46209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46209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46209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46209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46209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46209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46209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46209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46209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46209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46209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46209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46209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46209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46209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46209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46209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46209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46209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46209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46209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46209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46209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46209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46209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46209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46209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46209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46209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46209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46209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46209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46209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46209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46209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46209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46209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46209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46209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46209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46209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46209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46209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46209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46209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46209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46209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46209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46209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46209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46209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46209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46209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46209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46209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46209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46209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46209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46209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46209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46209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46209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46209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46209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46209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46209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46209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46209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46209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46209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46209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46209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46209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46209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46209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46209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46209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46209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46209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46209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46209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46209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46209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46209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46209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46209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46209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46209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46209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46209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46209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46209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46209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46209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46209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46209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46209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46209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46209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46209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46209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46209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46209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46209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46209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46209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46209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46209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46209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46209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46209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46209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46209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46209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46209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46209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46209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46209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46209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46209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46209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46209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46209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46209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46209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46209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46209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46209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46209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46209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46209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46209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46209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46209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46209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46209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46209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46209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46209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46209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46209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46209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46209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46209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46209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46209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46209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46209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46209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46209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46209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46209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46209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46209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46209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46209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46209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46209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46209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46209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46209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46209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46209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46209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46209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46209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46209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46209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46209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46209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46209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46209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46209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46209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46209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46209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46209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46209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46209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46209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46209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46209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46209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46209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46209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46209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46209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46209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46209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46209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46209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46209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46209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46209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46209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46209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46209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46209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46209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46209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46209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46209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46209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46209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46209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46209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46209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46209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46209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46209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46209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46209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46209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46209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46209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46209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46209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46209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46209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46209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46209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46209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46209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46209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46209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46209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46209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46209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46209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46209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46209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46209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46209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46209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46209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46209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46209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46209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46209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46209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46209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46209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46209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46209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46209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46209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46209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46209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46209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46209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46209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46209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46209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46209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46209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46209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46209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46209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46209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46209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46209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46209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46209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46209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46209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46209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46209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46209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46209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46209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46209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46209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46209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46209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46209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46209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46209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46209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46209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46209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46209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46209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46209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46209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46209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46209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46209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46209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46209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46209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46209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46209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46209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46209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46209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46209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46209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46209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46209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46209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46209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46209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46209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46209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46209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46209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46209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46209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46209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46209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46209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46209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46209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46209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46209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46209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46209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46209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46209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46209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46209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46209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46209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46209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46209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46209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46209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46209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46209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46209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46209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46209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46209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46209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46209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46209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46209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46209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46209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46209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46209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46209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46209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46209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46209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46209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46209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46209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46209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46209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46209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46209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46209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46209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46209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46209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46209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46209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46209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46209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46209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46209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46209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46209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46209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46209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46209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46209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46209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46209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46209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46209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46209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46209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46209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46209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46209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46209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46209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46209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46209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46209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46209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46209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46209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46209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46209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46209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46209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46209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46209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46209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46209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46209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46209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46209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46209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46209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46209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46209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46209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46209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46209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46209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46209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46209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46209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46209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46209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46209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46209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46209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46209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46209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46209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46209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46209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46209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46209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46209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46209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46209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46209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46209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46209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46209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46209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46209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46209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46209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46209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46209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46209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46209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46209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46209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46209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46209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46209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46209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46209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46209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46209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46209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46209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46209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46209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46209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46209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46209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46209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46209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46209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46209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46209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46209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46209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46209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46209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46209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46209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46209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46209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46209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46209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46209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46209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46209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46209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46209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46209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46209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46209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46209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46209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46209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46209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46209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46209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46209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46209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46209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46209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46209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46209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46209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46209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46209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46209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46209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46209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46209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46209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46209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46209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46209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46209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46209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46209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46209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46209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46209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46209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46209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46209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46209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46209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46209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46209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46209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46209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46209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46209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46209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46209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46209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46209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46209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46209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46209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46209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46209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46209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46209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46209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46209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46209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46209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46209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46209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46209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46209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46209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46209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46209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46209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46209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46209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46209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46209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46209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46209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46209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46209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46209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46209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46209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46209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46209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46209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46209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46209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46209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46209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46209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46209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46209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46209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46209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46209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46209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46209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46209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46209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46209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46209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46209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46209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46209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46209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46209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46209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46209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46209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46209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46209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46209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46209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46209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46209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46209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46209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46209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46209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46209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46209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46209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46209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46209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46209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46209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46209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46209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46209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46209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46209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46209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46209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46209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46209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46209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46209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46209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46209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46209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46209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46209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46209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46209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46209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46209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46209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46209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46209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46209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46209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46209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46209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46209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46209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46209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46209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46209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46209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46209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46209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46209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46209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46209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46209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46209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46209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46209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46209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46209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46209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46209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46209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46209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46209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46209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46209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46209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46209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46209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46209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46209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46209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46209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46209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46209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46209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46209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46209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46209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46209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46209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46209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46209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46209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46209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46209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46209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46209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46209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46209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46209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46209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46209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46209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46209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46209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46209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46209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46209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46209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46209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46209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46209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46209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46209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46209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46209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46209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46209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46209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46209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46209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46209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46209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46209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46209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46209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46209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46209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46209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46209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46209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46209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46209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46209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46209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46209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46209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46209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46209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46209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46209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46209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46209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46209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46209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46209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46209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46209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46209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46209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46209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46209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46209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46209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46209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46209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46209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46209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46209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46209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46209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46209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46209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46209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46209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46209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46209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46209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46209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46209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46209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46209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46209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46209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46209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46209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46209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46209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46209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46209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46209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46209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46209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46209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46209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46209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46209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46209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46209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46209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46209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46209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46209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46209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46209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46209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46209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46209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46209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46209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46209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46209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46209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46209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46209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46209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46209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46209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46209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46209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46209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46209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46209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46209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46209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46209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46209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46209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46209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46209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46209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46209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46209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46209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46209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46209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46209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46209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46209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46209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46209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46209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46209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46209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46209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46209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46209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46209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46209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46209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46209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46209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46209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46209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46209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46209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46209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46209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46209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46209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46209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46209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46209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46209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46209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46209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46209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46209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46209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46209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46209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46209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46209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46209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46209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46209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46209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46209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46209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46209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46209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46209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46209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46209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46209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46209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46209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46209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46209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46209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46209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46209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46209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46209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46209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46209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46209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46209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46209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46209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46209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46209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46209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46209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46209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46209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46209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46209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46209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46209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46209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46209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46209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46209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46209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46209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46209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46209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46209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46209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46209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46209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46209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46209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46209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46209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46209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46209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46209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46209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46209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46209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46209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46209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46209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46209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46209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46209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46209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46209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46209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46209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46209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46209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46209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46209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46209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46209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46209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46209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46209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46209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46209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46209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46209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46209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46209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46209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46209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46209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46209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46209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46209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46209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46209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46209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46209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46209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46209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46209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46209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46209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46209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46209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46209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46209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46209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46209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46209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46209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46209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46209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46209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46209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46209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46209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46209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46209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46209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46209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46209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46209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46209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46209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46209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46209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46209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46209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46209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46209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46209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46209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46209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46209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46209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46209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46209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46209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46209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46209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46209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46209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46209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46209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46209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46209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46209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46209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46209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46209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46209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46209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46209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46209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46209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46209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46209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46209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46209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46209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46209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46209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46209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46209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46209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46209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46209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46209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46209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46209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46209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46209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46209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46209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46209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46209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46209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46209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46209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46209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46209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46209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46209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46209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46209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46209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46209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46209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46209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46209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46209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46209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46209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46209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46209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46209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46209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46209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46209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46209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46209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46209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46209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46209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46209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46209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46209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46209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46209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46209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46209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46209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46209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46209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46209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46209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46209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46209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46209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46209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46209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46209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46209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46209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46209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46209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46209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46209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46209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46209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46209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46209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46209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46209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46209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46209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46209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46209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46209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46209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46209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46209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46209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46209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46209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46209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46209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46209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46209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46209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46209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46209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46209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46209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46209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46209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46209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46209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46209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46209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46209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46209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46209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46209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46209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46209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46209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46209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46209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46209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46209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46209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46209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46209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46209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46209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46209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46209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46209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46209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46209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46209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46209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46209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46209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46209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46209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46209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46209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46209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46209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46209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46209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46209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46209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46209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46209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46209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46209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46209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46209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46209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46209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46209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46209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46209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46209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46209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46209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46209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46209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46209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46209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46209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46209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46209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46209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46209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46209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46209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46209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46209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46209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46209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46209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46209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46209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46209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46209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46209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46209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46209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46209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46209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46209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46209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46209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46209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46209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46209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46209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46209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46209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46209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46209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46209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46209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46209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46209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46209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46209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46209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46209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46209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46209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46209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46209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46209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46209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46209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46209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46209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46209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46209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46209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46209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46209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46209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46209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46209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46209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46209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46209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46209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46209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46209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46209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46209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46209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46209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46209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46209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46209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46209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46209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46209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46209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46209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46209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46209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46209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46209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46209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46209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46209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46209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46209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46209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46209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46209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46209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46209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46209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46209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46209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46209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46209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46209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46209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46209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46209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46209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46209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46209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46209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46209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46209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46209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46209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46209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46209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46209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46209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46209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46209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46209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46209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46209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46209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46209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46209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46209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46209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46209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46209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46209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46209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46209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46209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46209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46209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46209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46209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46209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46209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46209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46209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46209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46209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46209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46209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46209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46209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46209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46209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46209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46209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46209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46209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46209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46209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46209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46209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46209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46209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46209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46209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46209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46209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46209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46209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46209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46209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46209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46209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46209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46209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46209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46209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46209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46209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46209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46209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46209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46209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46209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46209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46209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46209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46209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46209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46209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46209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46209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46209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46209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46209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46209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46209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46209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46209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46209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46209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46209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46209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46209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46209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46209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46209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46209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46209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46209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46209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46209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46209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46209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46209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46209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46209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46209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46209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46209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46209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46209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46209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46209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46209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46209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46209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46209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46209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46209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46209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46209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46209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46209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46209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46209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46209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46209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46209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46209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46209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46209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46209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46209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46209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46209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46209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46209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46209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46209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46209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46209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46209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46209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46209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46209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46209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46209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46209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46209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46209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46209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46209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46209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46209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46209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46209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46209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46209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46209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46209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46209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46209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46209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46209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46209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46209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46209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46209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46209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46209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46209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46209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46209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46209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46209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46209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46209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46209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46209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46209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46209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46209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46209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46209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46209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46209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46209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46209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46209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46209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46209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46209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46209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46209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46209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46209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46209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46209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46209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46209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46209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46209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46209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46209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46209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46209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46209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46209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46209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46209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46209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46209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46209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46209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46209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46209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46209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46209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46209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46209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46209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46209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46209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46209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46209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46209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46209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46209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46209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46209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46209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46209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46209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46209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46209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46209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46209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46209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46209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46209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46209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46209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46209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46209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46209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46209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46209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46209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46209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46209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46209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46209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46209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46209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46209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46209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46209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46209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46209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46209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46209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46209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46209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46209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46209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46209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46209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46209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46209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46209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46209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46209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46209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46209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46209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46209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46209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46209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46209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46209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46209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46209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46209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46209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46209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46209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46209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46209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46209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46209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46209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46209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46209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46209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46209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46209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46209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46209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46209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46209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46209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46209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46209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46209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46209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46209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46209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46209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46209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46209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46209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46209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46209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46209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46209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46209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46209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46209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46209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46209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46209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46209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46209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46209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46209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46209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46209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46209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46209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46209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46209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46209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46209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46209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46209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46209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46209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46209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46209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46209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46209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46209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46209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46209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46209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46209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46209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46209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46209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46209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46209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46209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46209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46209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46209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46209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46209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46209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46209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46209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46209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46209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46209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46209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46209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46209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46209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46209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46209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46209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46209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46209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46209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46209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46209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46209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46209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46209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46209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46209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46209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46209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46209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46209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46209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46209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46209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46209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46209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46209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46209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46209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46209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46209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46209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46209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46209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46209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46209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46209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46209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46209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46209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46209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46209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46209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46209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46209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46209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46209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46209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46209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46209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46209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46209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46209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46209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46209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46209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46209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46209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46209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46209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46209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46209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46209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46209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46209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46209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46209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46209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46209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46209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46209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46209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46209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46209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46209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46209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46209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46209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46209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46209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46209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46209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46209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46209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46209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46209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46209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46209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46209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46209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46209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46209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46209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46209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46209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46209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46209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46209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46209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46209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46209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46209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46209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46209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46209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46209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46209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46209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46209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46209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46209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46209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46209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46209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46209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46209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46209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46209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46209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46209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46209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46209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46209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46209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46209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46209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46209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46209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46209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46209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46209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46209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46209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46209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46209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46209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46209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46209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46209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46209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46209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46209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46209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46209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46209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46209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46209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46209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46209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46209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46209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46209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46209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46209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46209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46209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46209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46209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46209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46209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46209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46209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46209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46209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46209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46209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46209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46209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46209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46209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46209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46209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46209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46209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46209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46209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46209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46209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46209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46209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46209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46209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46209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46209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46209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46209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46209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46209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46209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46209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46209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46209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46209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46209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46209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46209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46209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46209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46209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46209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46209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46209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46209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46209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46209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46209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46209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46209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46209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46209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46209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46209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46209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46209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46209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46209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46209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46209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46209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46209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46209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46209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46209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46209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46209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46209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46209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46209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46209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46209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46209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46209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46209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46209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46209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46209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46209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46209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46209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46209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46209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46209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46209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46209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46209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46209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46209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46209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46209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46209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46209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46209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46209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46209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46209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46209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46209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46209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46209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46209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46209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46209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46209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46209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46209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46209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46209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46209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46209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46209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46209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46209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46209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46209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46209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46209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46209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46209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46209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46209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46209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46209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46209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46209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46209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46209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46209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46209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46209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46209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46209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46209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46209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46209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46209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46209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46209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46209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46209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46209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46209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46209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46209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46209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46209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46209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46209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46209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46209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46209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46209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46209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46209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46209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46209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46209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46209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46209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46209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46209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46209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46209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46209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46209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46209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46209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46209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46209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46209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46209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46209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46209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46209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46209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46209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46209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46209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46209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46209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46209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46209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46209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46209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46209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46209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46209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46209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46209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46209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46209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46209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46209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46209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46209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46209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46209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46209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46209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46209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46209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46209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46209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46209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46209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46209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46209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46209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46209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46209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46209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46209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46209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46209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46209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46209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46209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46209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46209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46209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46209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46209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46209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46209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46209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46209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46209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46209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46209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46209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46209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46209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46209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46209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46209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46209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46209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46209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46209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46209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46209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46209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46209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46209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46209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46209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46209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46209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46209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46209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46209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46209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46209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46209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46209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46209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46209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46209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46209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46209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46209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46209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46209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46209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46209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46209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46209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46209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46209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46209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46209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46209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46209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46209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46209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46209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46209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46209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46209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46209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46209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46209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46209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46209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46209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46209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46209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46209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46209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46209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46209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46209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46209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46209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46209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46209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46209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46209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46209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46209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46209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46209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46209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46209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46209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46209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46209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46209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46209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46209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46209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46209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46209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46209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46209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46209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46209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46209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46209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46209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46209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46209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46209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46209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46209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46209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46209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46209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46209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46209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46209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46209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46209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46209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46209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46209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46209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46209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46209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46209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46209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46209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46209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46209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46209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46209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46209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46209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46209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46209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46209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46209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46209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46209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46209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46209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46209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46209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46209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46209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46209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46209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46209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46209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46209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46209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46209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46209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46209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46209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46209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46209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46209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46209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46209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46209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46209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46209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46209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46209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46209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46209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46209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46209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46209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46209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46209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46209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46209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46209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46209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46209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46209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46209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46209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46209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46209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46209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46209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46209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46209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46209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46209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46209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46209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46209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46209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46209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46209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46209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46209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46209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46209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46209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46209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46209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46209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46209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46209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46209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46209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46209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46209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46209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46209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46209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46209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46209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46209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46209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46209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46209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46209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46209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46209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46209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46209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46209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46209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46209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46209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46209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46209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46209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46209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46209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46209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46209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46209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46209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46209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46209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46209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46209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46209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46209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46209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46209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46209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46209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46209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46209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46209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46209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46209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46209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46209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46209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46209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46209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46209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46209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46209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46209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46209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46209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46209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46209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46209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46209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46209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46209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46209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46209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46209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46209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46209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46209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46209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46209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46209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46209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46209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46209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46209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46209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46209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46209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46209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46209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46209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46209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46209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46209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46209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46209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46209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46209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46209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46209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46209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46209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46209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46209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46209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46209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46209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46209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46209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46209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46209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46209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46209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46209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46209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46209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46209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46209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46209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46209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46209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46209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46209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46209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46209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46209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46209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46209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46209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46209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46209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46209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46209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46209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46209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46209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46209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46209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46209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46209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46209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46209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46209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46209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46209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46209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46209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46209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46209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46209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46209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46209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46209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46209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46209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46209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46209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46209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46209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46209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46209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46209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46209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46209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46209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46209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46209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46209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46209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46209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46209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46209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46209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46209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46209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46209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46209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46209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46209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46209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46209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46209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46209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46209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46209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46209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46209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46209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46209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46209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46209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46209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46209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46209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46209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46209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46209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46209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46209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46209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46209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46209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46209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46209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46209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46209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46209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46209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46209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46209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46209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46209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46209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46209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46209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46209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46209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46209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46209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46209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46209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46209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46209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46209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46209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46209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46209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46209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46209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46209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46209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46209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46209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46209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46209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46209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46209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46209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46209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46209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46209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46209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46209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46209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46209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46209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46209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46209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46209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46209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46209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46209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46209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46209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46209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46209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46209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46209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46209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46209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46209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46209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46209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46209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46209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46209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46209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46209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46209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46209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46209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46209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46209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46209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46209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46209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46209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46209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46209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46209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46209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46209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46209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46209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46209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46209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46209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46209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46209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46209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46209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46209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46209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46209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46209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46209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46209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46209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46209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46209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46209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46209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46209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46209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46209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46209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46209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46209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46209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46209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46209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46209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46209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46209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46209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46209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46209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46209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46209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46209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46209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46209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46209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46209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46209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46209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46209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46209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46209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46209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46209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46209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46209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46209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46209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46209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46209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46209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46209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46209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46209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46209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46209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46209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46209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46209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46209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46209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46209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46209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46209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46209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46209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46209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46209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46209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46209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46209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46209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46209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46209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46209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46209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46209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46209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46209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46209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46209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46209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46209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46209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46209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46209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46209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46209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46209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46209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46209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46209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46209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46209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46209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46209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46209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46209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46209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46209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46209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46209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46209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46209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46209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46209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46209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46209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46209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46209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46209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46209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46209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46209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46209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46209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46209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46209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46209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46209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46209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46209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46209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46209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46209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46209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46209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46209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46209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46209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46209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46209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46209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46209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46209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46209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46209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46209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46209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46209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46209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46209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46209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46209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46209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46209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46209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46209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46209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46209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46209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46209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46209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46209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46209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46209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46209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46209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46209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46209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46209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46209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46209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46209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46209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46209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46209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46209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46209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46209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46209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46209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46209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46209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46209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46209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46209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46209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46209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46209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46209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46209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46209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46209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46209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46209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46209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46209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46209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46209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46209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46209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46209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46209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46209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46209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46209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46209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46209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46209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46209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46209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46209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46209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46209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46209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46209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46209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46209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46209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46209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46209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46209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46209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46209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46209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46209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46209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46209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46209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46209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46209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46209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46209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46209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46209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46209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46209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46209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46209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46209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46209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46209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46209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46209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46209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46209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46209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46209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46209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46209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46209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46209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46209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46209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46209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46209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46209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46209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46209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46209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46209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46209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46209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46209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46209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46209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46209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46209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46209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46209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46209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46209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46209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46209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46209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46209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46209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46209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46209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46209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46209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46209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46209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46209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46209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46209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46209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46209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46209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46209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46209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46209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46209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46209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46209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46209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46209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46209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46209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46209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46209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46209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46209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46209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46209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46209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46209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46209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46209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46209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46209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46209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46209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46209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46209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46209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46209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46209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46209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46209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46209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46209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46209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46209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46209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46209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46209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46209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46209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46209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46209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46209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46209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46209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46209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46209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46209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46209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46209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46209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46209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46209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46209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46209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46209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46209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46209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46209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46209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46209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46209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46209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46209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46209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46209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46209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46209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46209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46209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46209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46209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46209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46209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46209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46209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46209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46209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46209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46209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46209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46209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46209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46209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46209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46209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46209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46209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46209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46209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46209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46209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46209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46209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46209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46209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46209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46209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46209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46209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46209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46209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46209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46209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46209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46209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46209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46209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46209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46209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46209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46209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46209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46209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46209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46209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46209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46209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46209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46209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46209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46209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46209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46209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46209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46209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46209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46209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46209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46209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46209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46209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46209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46209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46209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46209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46209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46209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46209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46209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46209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46209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46209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46209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46209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46209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46209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46209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46209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46209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46209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46209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46209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46209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46209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46209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46209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46209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46209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46209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46209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46209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46209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46209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46209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46209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46209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46209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46209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46209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46209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46209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46209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46209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46209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46209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46209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46209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46209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46209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46209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46209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46209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46209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46209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46209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46209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46209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46209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46209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46209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46209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46209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46209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46209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46209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46209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46209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46209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46209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46209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46209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46209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46209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46209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46209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46209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46209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46209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46209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46209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46209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46209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46209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46209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46209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46209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46209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46209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46209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46209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46209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46209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46209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46209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46209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46209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46209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46209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46209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46209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46209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46209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46209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46209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46209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46209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46209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46209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46209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46209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46209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46209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46209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46209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46209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46209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46209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46209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46209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46209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46209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46209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46209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46209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46209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46209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46209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46209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46209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46209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46209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46209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46209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46209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46209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46209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46209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46209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46209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46209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46209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46209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46209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46209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46209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46209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46209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46209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46209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46209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46209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46209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46209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46209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46209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46209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46209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46209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46209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46209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46209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46209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46209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46209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46209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46209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46209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46209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46209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46209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46209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46209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46209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46209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46209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46209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46209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46209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46209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46209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46209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46209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46209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46209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46209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46209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46209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46209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46209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46209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46209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46209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46209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46209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46209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46209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46209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46209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46209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46209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46209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46209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46209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46209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46209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46209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46209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46209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46209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46209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46209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46209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46209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46209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46209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46209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46209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46209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46209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46209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46209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46209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46209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46209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46209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46209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46209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46209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46209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46209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46209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46209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46209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46209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46209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46209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46209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46209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46209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46209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46209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46209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46209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46209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46209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46209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46209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46209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46209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46209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46209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46209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46209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46209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46209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46209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46209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46209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46209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46209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46209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46209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46209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46209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46209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46209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46209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46209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46209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46209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46209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46209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46209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46209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46209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46209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46209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46209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46209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46209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46209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46209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46209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46209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46209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46209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46209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46209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46209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46209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46209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46209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46209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46209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46209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46209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46209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46209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46209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46209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46209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46209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46209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46209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46209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46209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46209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46209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46209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46209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46209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46209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46209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46209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46209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46209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46209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46209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46209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46209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46209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46209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46209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46209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46209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46209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46209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46209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46209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46209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46209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46209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46209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46209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46209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46209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46209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46209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46209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46209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46209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46209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46209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46209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46209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46209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46209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46209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46209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46209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46209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46209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46209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46209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46209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46209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46209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46209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46209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46209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46209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46209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46209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46209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46209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46209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46209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46209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46209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46209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46209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46209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46209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46209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46209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46209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46209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46209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46209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46209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46209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46209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46209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46209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46209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46209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46209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46209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46209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46209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46209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46209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46209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46209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46209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46209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46209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46209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46209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46209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46209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46209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46209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46209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46209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46209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46209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46209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46209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46209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46209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46209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46209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46209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46209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46209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46209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46209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46209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46209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46209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46209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46209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46209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46209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46209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46209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46209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46209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46209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46209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46209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46209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46209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46209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46209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46209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46209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46209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46209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46209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46209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46209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46209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46209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46209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46209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46209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46209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46209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46209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46209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46209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46209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46209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46209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46209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46209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46209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46209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46209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46209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46209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46209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46209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46209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46209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46209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46209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46209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46209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46209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46209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46209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46209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46209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46209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46209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46209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46209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46209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46209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46209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46209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46209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46209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46209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46209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46209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46209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46209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46209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46209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46209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46209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46209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46209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46209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46209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46209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46209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46209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46209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46209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46209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46209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46209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46209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46209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46209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46209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46209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46209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46209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46209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46209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46209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46209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46209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46209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46209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46209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46209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46209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46209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46209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46209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46209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46209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46209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46209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46209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46209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46209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46209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46209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46209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46209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46209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46209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46209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46209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46209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46209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46209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46209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46209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46209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46209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46209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46209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46209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46209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46209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46209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46209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46209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46209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46209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46209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46209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46209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46209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46209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46209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46209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46209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46209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46209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46209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46209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46209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46209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46209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46209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46209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46209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46209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46209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46209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46209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46209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46209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46209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46209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46209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46209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46209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46209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46209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46209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46209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46209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46209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46209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46209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46209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46209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46209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46209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46209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46209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46209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46209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46209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46209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46209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46209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46209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46209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46209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46209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46209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46209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46209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46209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46209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46209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46209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46209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46209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46209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46209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46209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46209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46209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46209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46209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46209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46209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46209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46209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46209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46209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46209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46209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46209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46209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46209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46209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46209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46209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46209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46209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46209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46209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46209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46209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46209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46209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46209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46209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46209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46209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46209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46209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46209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46209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46209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46209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46209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46209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46209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46209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46209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46209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46209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46209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46209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46209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46209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46209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46209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46209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46209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46209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46209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46209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46209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46209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46209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46209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46209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46209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46209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46209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46209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46209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46209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46209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46209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46209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46209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46209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46209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46209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46209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46209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46209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46209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46209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46209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46209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46209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46209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46209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46209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46209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46209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46209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46209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46209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46209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46209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46209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46209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46209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46209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46209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46209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46209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46209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46209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46209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46209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46209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46209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46209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46209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46209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46209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46209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46209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46209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46209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46209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46209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46209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46209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46209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46209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46209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46209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46209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46209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46209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46209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46209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46209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46209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46209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46209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46209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46209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46209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46209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46209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46209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46209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46209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46209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46209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46209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46209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46209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46209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46209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46209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46209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46209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46209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46209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46209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46209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46209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46209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46209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46209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46209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46209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46209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46209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46209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46209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46209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46209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46209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46209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46209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46209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46209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46209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46209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46209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46209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46209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46209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46209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46209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46209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46209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46209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46209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46209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46209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46209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46209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46209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46209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46209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46209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46209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46209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46209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46209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46209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46209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46209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46209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46209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46209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46209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46209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46209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46209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46209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46209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46209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46209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46209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46209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46209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46209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46209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46209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46209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46209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46209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46209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46209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46209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46209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46209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46209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46209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46209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46209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46209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46209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46209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46209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46209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46209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46209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46209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46209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46209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46209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46209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46209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46209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46209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46209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46209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46209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46209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46209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46209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46209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46209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46209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46209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46209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46209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46209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46209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46209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46209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46209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46209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46209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46209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46209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46209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46209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46209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46209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46209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46209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46209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46209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46209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46209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46209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46209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46209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46209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46209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46209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46209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46209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46209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46209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46209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46209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46209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46209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46209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46209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46209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46209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46209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46209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46209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46209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46209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46209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46209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46209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46209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46209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46209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46209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46209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46209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46209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46209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46209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46209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46209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46209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46209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46209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46209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46209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46209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46209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46209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46209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46209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46209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46209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46209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46209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46209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46209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46209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46209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46209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46209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46209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46209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46209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46209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46209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46209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46209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46209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46209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46209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46209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46209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46209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46209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46209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46209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46209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46209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46209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46209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46209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46209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46209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46209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46209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46209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46209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46209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46209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46209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46209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46209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46209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46209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46209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46209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46209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46209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46209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46209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46209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46209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46209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46209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46209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46209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46209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46209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46209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46209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46209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46209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46209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46209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46209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46209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46209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46209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46209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46209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46209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46209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46209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46209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46209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46209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46209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46209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46209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46209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46209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46209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46209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46209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46209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46209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46209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46209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46209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46209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46209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46209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46209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46209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46209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46209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46209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46209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46209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46209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46209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46209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46209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46209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46209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46209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46209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46209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46209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46209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46209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46209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46209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46209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46209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46209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46209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46209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46209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46209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46209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46209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46209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46209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46209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46209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46209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46209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46209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46209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46209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46209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46209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46209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46209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46209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46209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46209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46209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46209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46209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46209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46209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46209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46209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46209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46209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46209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46209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46209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46209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46209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46209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46209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46209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46209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46209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46209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46209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46209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46209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46209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46209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46209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46209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46209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46209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46209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46209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46209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46209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46209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46209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46209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46209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46209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46209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46209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46209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46209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46209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46209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46209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46209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46209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46209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46209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46209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46209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46209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46209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46209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46209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46209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46209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46209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46209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46209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46209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46209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46209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46209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46209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46209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46209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46209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46209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46209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46209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46209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46209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46209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46209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46209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46209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46209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46209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46209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46209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46209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46209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46209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46209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46209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46209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46209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46209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46209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46209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46209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46209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46209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46209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46209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46209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46209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46209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46209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46209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46209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46209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46209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46209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46209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46209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46209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46209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46209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46209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46209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46209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46209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46209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46209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46209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46209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46209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46209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46209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46209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46209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46209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46209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46209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46209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46209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46209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46209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46209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46209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46209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46209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46209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46209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46209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46209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46209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46209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46209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46209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46209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46209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46209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46209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46209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46209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46209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46209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46209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46209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46209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46209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46209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46209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46209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46209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46209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46209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46209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46209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46209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46209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46209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46209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46209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46209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46209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46209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46209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46209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46209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46209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46209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46209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46209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46209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46209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46209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46209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46209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46209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46209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46209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46209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46209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46209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46209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46209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46209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46209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46209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46209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46209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46209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46209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46209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46209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46209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46209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46209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46209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46209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46209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46209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46209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46209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46209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46209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46209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46209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46209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46209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46209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46209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46209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46209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46209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46209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46209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46209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46209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46209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46209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46209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46209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46209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46209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46209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46209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46209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46209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46209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46209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46209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46209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46209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46209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46209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46209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46209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46209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46209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46209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46209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46209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46209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46209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46209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46209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46209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46209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46209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46209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46209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46209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46209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46209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46209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46209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46209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46209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46209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46209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46209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46209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46209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46209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46209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46209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46209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46209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46209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46209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46209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46209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46209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46209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46209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46209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46209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46209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46209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46209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46209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46209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46209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46209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46209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46209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46209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46209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46209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46209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46209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46209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46209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46209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46209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46209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46209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46209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46209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46209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46209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46209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46209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46209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46209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46209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46209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46209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46209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46209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46209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46209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46209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46209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46209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46209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46209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46209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46209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46209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46209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46209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46209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46209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46209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46209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46209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46209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46209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46209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46209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46209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46209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46209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46209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46209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46209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46209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46209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46209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46209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46209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46209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46209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46209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46209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46209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46209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46209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46209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46209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46209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46209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46209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46209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46209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46209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46209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46209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46209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46209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46209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46209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46209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46209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46209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46209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46209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46209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46209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46209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46209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46209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46209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46209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46209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46209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46209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46209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46209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46209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46209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46209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46209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46209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46209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46209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46209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46209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46209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46209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46209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46209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46209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46209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46209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46209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46209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46209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46209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46209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46209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46209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46209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46209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46209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46209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46209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46209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46209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46209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46209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46209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46209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46209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46209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46209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46209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46209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46209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46209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46209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46209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46209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46209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46209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46209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46209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46209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46209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46209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46209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46209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46209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46209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46209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46209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46209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46209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46209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46209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46209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46209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46209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46209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46209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46209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46209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46209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46209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46209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46209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46209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46209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46209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46209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46209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46209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46209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46209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46209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46209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46209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46209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46209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46209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46209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46209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46209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46209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46209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46209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46209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46209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46209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46209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46209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46209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46209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46209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46209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46209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46209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46209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46209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46209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46209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46209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46209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46209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46209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46209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46209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46209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46209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46209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46209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46209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46209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46209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46209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46209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46209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46209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46209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46209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46209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46209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46209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46209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46209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46209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46209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46209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46209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46209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46209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46209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46209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46209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46209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46209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46209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46209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46209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46209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46209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46209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46209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46209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46209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46209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46209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46209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46209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46209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46209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46209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46209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46209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46209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46209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46209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46209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46209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46209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46209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46209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46209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46209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46209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46209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46209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46209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46209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46209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46209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46209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46209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46209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46209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46209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46209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46209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46209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46209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46209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46209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46209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46209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46209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46209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46209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46209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46209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46209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46209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46209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46209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46209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46209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46209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46209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46209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46209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46209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46209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46209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46209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46209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46209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46209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46209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46209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46209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46209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46209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46209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46209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46209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46209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46209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46209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46209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46209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46209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46209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46209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46209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46209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46209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46209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46209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46209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46209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46209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46209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46209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46209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46209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46209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46209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46209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46209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46209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46209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46209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46209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46209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46209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46209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46209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46209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46209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46209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46209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46209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46209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46209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46209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46209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46209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46209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46209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46209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46209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46209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46209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46209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46209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46209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46209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46209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46209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46209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46209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46209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46209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46209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46209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46209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46209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46209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46209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46209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46209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46209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46209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46209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46209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46209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46209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46209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46209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46209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46209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46209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46209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46209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46209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46209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46209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46209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46209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46209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46209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46209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46209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46209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46209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46209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46209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46209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46209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46209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46209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46209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46209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46209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46209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46209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46209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46209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46209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46209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46209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46209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46209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46209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46209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46209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46209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46209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46209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46209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46209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46209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46209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46209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46209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46209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46209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46209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46209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46209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46209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46209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46209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46209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46209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46209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46209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46209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46209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46209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46209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46209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46209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46209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46209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46209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46209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46209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46209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46209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46209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46209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46209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46209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46209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46209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46209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46209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46209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46209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46209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46209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46209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46209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46209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46209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46209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46209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46209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46209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46209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46209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46209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46209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46209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46209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46209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46209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46209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46209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46209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46209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46209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46209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46209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46209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46209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46209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46209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46209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46209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46209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46209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46209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46209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46209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46209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46209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46209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46209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46209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46209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46209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46209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46209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46209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46209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46209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46209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46209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46209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46209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46209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46209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46209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46209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46209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46209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46209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46209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46209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46209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46209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46209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46209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46209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46209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46209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46209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46209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46209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46209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46209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46209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46209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46209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46209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46209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46209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46209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46209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46209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46209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46209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46209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46209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46209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46209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46209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46209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46209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46209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46209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46209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46209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46209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46209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46209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46209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46209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46209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46209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46209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46209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46209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46209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46209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46209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46209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46209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46209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46209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46209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46209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46209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46209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46209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46209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46209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46209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46209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46209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46209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46209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46209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46209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46209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46209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46209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46209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46209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46209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46209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46209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46209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46209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46209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46209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46209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46209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46209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46209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46209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46209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46209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46209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46209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46209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46209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46209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46209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46209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46209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46209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46209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46209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46209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46209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46209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46209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46209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46209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46209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46209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46209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46209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46209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46209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46209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46209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46209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46209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46209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46209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46209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46209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46209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46209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46209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46209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46209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46209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46209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46209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46209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46209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46209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46209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46209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46209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46209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46209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46209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46209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46209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46209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46209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46209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46209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46209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46209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46209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46209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46209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46209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46209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46209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46209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46209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46209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46209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46209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46209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46209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46209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46209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46209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46209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46209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46209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46209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46209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46209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46209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46209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46209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46209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46209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46209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46209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46209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46209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46209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46209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46209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46209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46209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46209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46209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46209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46209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46209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46209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46209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46209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46209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46209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46209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46209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46209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46209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46209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46209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46209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46209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46209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46209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46209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46209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46209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46209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46209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46209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46209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46209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46209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46209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46209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46209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46209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46209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46209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46209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46209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46209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46209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46209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46209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46209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46209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46209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46209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46209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46209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46209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46209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46209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46209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46209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46209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46209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46209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46209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46209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46209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46209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46209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46209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46209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46209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46209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46209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46209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46209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46209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46209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46209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46209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46209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46209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46209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46209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46209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46209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46209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46209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46209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46209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46209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46209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46209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46209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46209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46209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46209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46209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46209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46209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46209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46209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46209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46209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46209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46209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46209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46209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46209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46209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46209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46209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46209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46209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46209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46209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46209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46209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46209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46209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46209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46209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46209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46209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46209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46209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46209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46209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46209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46209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46209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46209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46209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46209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46209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46209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46209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46209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46209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46209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46209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46209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46209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46209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46209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46209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46209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46209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46209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46209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46209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46209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46209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46209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46209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46209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46209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46209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46209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46209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46209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46209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46209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46209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46209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46209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46209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46209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46209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46209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46209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46209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46209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46209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46209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46209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46209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46209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46209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46209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46209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46209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46209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46209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46209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46209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46209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46209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46209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46209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46209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46209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46209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46209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46209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46209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46209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46209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46209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46209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46209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46209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46209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46209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46209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46209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46209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46209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46209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46209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46209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46209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46209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46209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46209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46209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46209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46209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46209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46209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46209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46209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46209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46209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46209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46209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46209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46209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46209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46209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46209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46209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46209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46209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46209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46209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46209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46209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46209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46209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46209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46209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46209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46209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46209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46209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46209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46209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46209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46209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46209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46209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46209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46209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46209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46209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46209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46209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46209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46209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46209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46209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46209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46209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46209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46209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46209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46209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46209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46209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46209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46209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46209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46209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46209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46209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46209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46209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46209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46209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46209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46209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46209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46209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46209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46209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46209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46209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46209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46209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46209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46209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46209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46209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46209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46209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46209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46209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46209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46209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46209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46209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46209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46209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46209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46209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46209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46209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46209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46209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46209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46209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46209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46209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46209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46209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46209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46209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46209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46209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46209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46209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46209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46209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46209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46209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46209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46209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46209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46209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46209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46209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46209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46209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46209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46209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46209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46209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46209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46209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46209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46209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46209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46209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46209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46209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46209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46209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46209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46209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46209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46209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46209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46209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46209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46209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46209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46209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46209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46209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46209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46209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46209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46209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46209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46209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46209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46209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46209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46209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46209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46209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46209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46209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46209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46209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46209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46209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46209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46209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46209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46209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46209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46209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46209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46209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46209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46209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46209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46209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46209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46209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46209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46209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46209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46209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46209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46209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46209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46209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46209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46209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46209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46209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46209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46209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46209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46209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46209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46209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46209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46209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46209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46209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46209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46209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46209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46209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46209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46209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46209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46209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46209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46209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46209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46209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46209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46209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46209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46209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46209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46209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46209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46209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46209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46209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46209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46209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46209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46209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46209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46209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46209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46209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46209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46209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46209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46209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46209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46209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46209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46209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46209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46209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46209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46209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46209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46209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46209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46209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46209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46209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46209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46209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46209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46209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46209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46209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46209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46209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46209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46209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46209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46209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46209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46209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46209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46209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46209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46209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46209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46209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46209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46209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46209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46209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46209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46209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46209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46209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46209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46209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46209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46209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46209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46209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46209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46209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46209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46209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46209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46209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46209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46209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46209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46209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46209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46209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46209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46209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46209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46209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46209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46209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46209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46209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46209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46209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46209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46209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46209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46209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46209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46209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46209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46209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46209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46209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46209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46209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46209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46209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46209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46209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46209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46209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46209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46209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46209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46209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46209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46209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46209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46209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46209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46209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46209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46209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46209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46209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46209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46209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46209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46209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46209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46209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46209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46209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46209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46209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46209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46209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46209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46209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46209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46209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46209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46209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46209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46209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46209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46209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46209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46209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46209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46209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46209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46209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46209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46209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46209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46209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46209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46209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46209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46209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46209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46209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46209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46209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46209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46209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46209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46209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46209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46209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46209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46209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46209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46209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46209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46209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46209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46209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46209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46209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46209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46209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46209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46209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46209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46209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46209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46209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46209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46209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46209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46209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46209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46209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46209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46209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46209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46209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46209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46209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46209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46209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46209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46209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46209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46209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46209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46209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46209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46209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46209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46209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46209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46209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46209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46209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46209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46209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46209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46209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46209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46209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46209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46209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46209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46209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46209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46209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46209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46209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46209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46209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46209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46209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46209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46209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46209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46209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46209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46209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46209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46209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46209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46209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46209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46209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46209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46209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46209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46209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46209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46209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46209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46209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46209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46209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46209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46209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46209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46209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46209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46209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46209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46209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46209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46209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46209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46209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46209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46209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46209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46209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46209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46209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46209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46209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46209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46209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46209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46209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46209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46209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46209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46209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46209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46209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46209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46209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46209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46209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46209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46209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46209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46209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46209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46209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46209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46209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46209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46209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46209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46209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46209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46209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46209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46209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46209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46209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46209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46209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46209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46209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46209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46209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46209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46209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46209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46209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46209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46209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46209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46209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46209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46209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46209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46209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46209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46209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46209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46209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46209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46209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46209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46209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46209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46209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46209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46209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46209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46209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46209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46209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46209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46209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46209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46209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46209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46209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46209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46209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46209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46209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46209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46209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46209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46209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46209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46209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46209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46209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46209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46209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46209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46209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46209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46209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46209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46209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46209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46209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46209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46209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46209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46209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46209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46209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46209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46209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46209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46209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46209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46209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46209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46209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46209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46209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46209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46209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46209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46209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46209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46209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46209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46209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46209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46209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46209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46209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46209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46209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46209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46209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46209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46209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46209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46209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46209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46209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46209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46209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46209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46209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46209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46209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46209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46209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46209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46209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46209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46209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46209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46209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46209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46209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46209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46209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46209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46209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46209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46209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46209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46209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46209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46209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46209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46209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46209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46209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46209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46209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46209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46209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46209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46209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46209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46209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46209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46209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46209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46209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46209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46209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46209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46209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46209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46209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46209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46209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46209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46209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46209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46209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46209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46209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46209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46209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46209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46209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46209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46209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46209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46209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46209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46209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46209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46209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46209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46209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46209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46209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46209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46209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46209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46209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46209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46209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46209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46209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46209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46209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46209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46209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46209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46209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46209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46209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46209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46209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46209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46209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46209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46209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46209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46209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46209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46209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46209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46209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46209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46209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46209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46209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46209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46209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46209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46209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46209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46209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46209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46209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46209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46209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46209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46209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46209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46209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46209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46209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46209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46209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46209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46209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46209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46209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46209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46209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46209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46209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46209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46209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46209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46209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46209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46209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46209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46209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46209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46209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46209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46209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46209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46209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46209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46209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46209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46209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46209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46209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46209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46209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46209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46209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46209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46209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46209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46209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46209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46209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46209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46209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46209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46209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46209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46209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46209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46209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46209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46209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46209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46209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46209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46209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46209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46209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46209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46209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46209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46209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46209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46209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46209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46209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46209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46209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46209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46209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46209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46209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46209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46209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46209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46209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46209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46209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46209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46209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46209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46209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46209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46209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46209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46209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46209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46209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46209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46209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46209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46209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46209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46209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46209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46209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46209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46209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46209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46209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46209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46209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46209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46209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46209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46209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46209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46209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46209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46209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46209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46209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46209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46209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46209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46209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46209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46209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46209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46209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46209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46209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46209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46209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46209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46209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46209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46209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46209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46209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46209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46209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46209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46209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46209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46209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46209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46209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46209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46209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46209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46209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46209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46209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46209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46209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46209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46209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46209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46209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46209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46209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46209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46209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46209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46209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46209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46209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46209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46209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46209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46209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46209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46209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46209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46209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46209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46209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46209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46209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46209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46209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46209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46209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46209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46209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46209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46209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46209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46209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46209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46209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46209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46209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46209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46209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46209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46209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46209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46209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46209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46209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46209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46209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46209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46209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46209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46209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46209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46209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46209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46209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46209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46209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46209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46209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46209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46209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46209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46209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46209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46209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46209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46209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46209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46209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46209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46209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46209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46209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46209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46209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46209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46209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46209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46209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46209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46209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46209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46209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46209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46209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46209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46209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46209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46209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46209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46209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46209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46209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46209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46209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46209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46209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46209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46209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46209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46209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46209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46209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46209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46209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46209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46209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46209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46209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46209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46209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46209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46209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46209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46209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46209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46209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46209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46209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46209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46209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46209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46209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46209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46209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46209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46209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46209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46209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46209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46209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46209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46209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46209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46209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46209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46209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46209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46209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46209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46209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46209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46209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46209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46209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46209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46209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46209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46209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46209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46209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46209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46209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46209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46209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46209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46209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46209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46209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46209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46209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46209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46209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46209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46209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46209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46209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46209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46209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46209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46209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46209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46209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46209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46209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46209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46209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46209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46209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46209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46209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46209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46209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46209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46209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46209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46209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46209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46209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46209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46209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46209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46209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46209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46209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46209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46209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46209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46209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46209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46209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46209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46209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46209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46209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46209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46209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46209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46209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46209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46209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46209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46209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46209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46209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46209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46209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46209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46209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46209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46209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46209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46209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46209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46209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46209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46209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46209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46209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46209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46209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46209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46209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46209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46209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46209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46209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46209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46209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46209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46209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46209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46209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46209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46209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46209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46209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46209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46209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46209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46209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46209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46209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46209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46209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46209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46209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46209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46209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46209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46209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46209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46209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46209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46209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46209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46209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46209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46209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46209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46209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46209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46209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46209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46209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46209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46209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46209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46209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46209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46209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46209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46209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46209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46209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46209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46209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46209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46209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46209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46209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46209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46209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46209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46209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46209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46209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46209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46209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46209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46209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46209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46209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46209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46209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46209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46209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46209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46209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46209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46209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46209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46209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46209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46209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46209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46209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46209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46209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46209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46209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46209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46209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46209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46209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46209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46209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46209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46209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46209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46209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46209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46209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46209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46209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46209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46209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46209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46209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46209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46209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46209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46209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46209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46209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46209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46209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46209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46209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46209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46209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46209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46209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46209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46209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46209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46209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46209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46209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46209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46209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46209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46209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46209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46209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46209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46209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46209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46209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46209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46209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46209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46209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46209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46209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46209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46209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46209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46209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46209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46209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46209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46209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46209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46209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46209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46209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46209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46209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46209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46209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46209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46209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46209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46209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46209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46209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46209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46209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46209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46209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46209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46209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46209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46209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46209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46209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46209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46209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46209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46209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46209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46209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46209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46209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46209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46209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46209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46209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46209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46209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46209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46209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46209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46209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46209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46209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46209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46209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46209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46209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46209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46209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46209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46209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46209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46209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46209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46209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46209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46209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46209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46209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46209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46209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46209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46209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46209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46209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46209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46209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46209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46209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46209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46209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46209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46209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46209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46209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46209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46209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46209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46209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46209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46209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46209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46209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46209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46209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46209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46209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46209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46209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46209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46209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46209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46209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46209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46209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46209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46209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46209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46209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46209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46209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46209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46209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46209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46209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46209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46209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46209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46209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46209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46209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46209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46209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46209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46209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46209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46209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46209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46209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46209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46209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46209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46209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46209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46209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46209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46209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46209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46209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46209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46209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46209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46209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46209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46209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46209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46209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46209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46209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46209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46209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46209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46209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46209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46209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46209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46209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46209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46209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46209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46209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46209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46209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46209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46209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46209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46209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46209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46209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46209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46209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46209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46209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46209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46209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46209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46209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46209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46209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46209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46209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46209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46209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46209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46209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46209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46209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46209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46209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46209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46209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46209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46209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46209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46209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46209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46209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46209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46209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46209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46209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46209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46209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46209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46209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46209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46209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46209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46209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46209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46209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46209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46209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46209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46209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46209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46209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46209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46209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46209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46209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46209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46209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46209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46209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46209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46209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46209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46209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46209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46209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46209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46209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46209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46209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46209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46209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46209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46209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46209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46209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46209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46209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46209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46209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46209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46209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46209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46209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46209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46209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46209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46209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46209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46209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46209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46209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46209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46209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46209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46209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46209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46209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46209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46209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46209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46209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46209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46209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46209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46209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46209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46209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46209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46209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46209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46209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46209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46209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46209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46209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46209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46209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46209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46209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46209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46209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46209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46209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46209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46209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46209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46209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46209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46209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46209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46209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46209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46209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46209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46209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46209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46209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46209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46209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46209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46209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46209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46209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46209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46209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46209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46209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46209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46209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46209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46209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46209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46209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46209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46209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46209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46209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46209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46209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46209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46209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46209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46209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46209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46209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46209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46209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46209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46209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46209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46209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46209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46209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46209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46209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46209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46209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46209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46209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46209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46209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46209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46209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46209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46209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46209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46209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46209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46209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46209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46209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46209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46209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46209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46209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46209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46209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46209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46209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46209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46209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46209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46209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46209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46209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46209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46209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46209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46209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46209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46209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46209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46209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46209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46209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46209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46209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46209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46209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46209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46209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46209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46209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46209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46209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46209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46209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46209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46209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46209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46209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46209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46209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46209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46209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46209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46209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46209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46209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46209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46209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46209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46209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46209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46209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46209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46209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46209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46209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46209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46209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46209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46209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46209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46209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46209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46209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46209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46209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46209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46209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46209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46209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46209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46209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46209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46209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46209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46209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46209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46209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46209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46209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46209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46209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46209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46209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46209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46209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46209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46209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46209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46209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46209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46209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46209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46209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46209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46209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46209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46209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46209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46209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46209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46209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46209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46209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46209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46209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46209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46209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46209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46209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46209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46209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46209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46209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46209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46209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46209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46209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46209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46209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46209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46209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46209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46209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46209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46209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46209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46209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46209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46209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46209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46209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46209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46209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46209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46209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46209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46209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46209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46209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46209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46209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46209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46209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46209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46209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46209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46209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46209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46209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46209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46209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46209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46209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46209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46209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46209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46209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46209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46209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46209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46209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46209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46209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46209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46209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46209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46209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46209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46209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46209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46209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46209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46209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46209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46209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46209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46209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46209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46209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46209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46209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46209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46209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46209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46209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46209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46209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46209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46209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46209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46209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46209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46209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46209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46209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46209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46209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46209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46209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46209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46209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46209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46209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46209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46209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46209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46209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46209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46209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46209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46209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46209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46209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46209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46209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46209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46209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46209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46209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46209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46209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46209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46209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46209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46209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46209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46209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46209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46209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46209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46209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46209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46209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46209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46209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46209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46209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46209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46209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46209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46209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46209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46209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46209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46209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46209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46209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46209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46209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46209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46209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46209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46209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46209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46209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46209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46209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46209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46209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46209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46209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46209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46209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46209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46209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46209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46209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46209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46209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46209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46209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46209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46209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46209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46209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46209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46209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46209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46209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46209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46209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46209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46209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46209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46209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46209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46209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46209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46209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46209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46209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46209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46209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46209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46209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46209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46209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46209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46209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46209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46209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46209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46209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46209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46209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46209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46209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46209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46209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46209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46209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46209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46209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46209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46209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46209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46209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46209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46209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46209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46209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46209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46209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46209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46209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46209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46209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46209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46209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46209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46209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46209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46209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46209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46209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46209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46209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46209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46209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46209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46209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46209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46209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46209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46209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46209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46209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46209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46209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46209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46209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46209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46209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46209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46209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46209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46209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46209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46209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46209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46209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46209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46209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46209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46209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46209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46209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46209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46209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46209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46209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46209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46209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46209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46209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46209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46209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46209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46209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46209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46209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46209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46209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46209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46209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46209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46209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46209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46209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46209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46209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46209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46209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46209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46209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46209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46209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46209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46209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46209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46209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46209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46209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46209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46209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46209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46209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46209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46209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46209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46209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46209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46209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46209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46209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46209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46209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46209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46209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46209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46209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46209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46209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46209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46209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46209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46209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46209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46209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46209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46209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46209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46209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46209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46209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46209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46209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46209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46209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46209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46209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46209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46209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46209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46209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46209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46209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46209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46209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46209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46209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46209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46209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46209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46209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46209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46209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46209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46209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46209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46209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46209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46209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46209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46209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46209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46209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46209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46209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46209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46209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46209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46209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46209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46209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46209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46209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46209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46209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46209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46209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46209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46209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46209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46209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46209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46209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46209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46209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46209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46209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46209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46209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46209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46209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46209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46209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46209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46209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46209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46209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46209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46209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46209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46209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46209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46209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46209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46209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46209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46209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46209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46209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46209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46209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46209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46209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46209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46209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46209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46209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46209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46209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46209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46209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46209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46209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46209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46209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46209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46209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46209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46209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46209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46209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46209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46209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46209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46209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46209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46209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46209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46209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46209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46209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46209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46209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46209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46209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46209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46209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46209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46209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46209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46209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46209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46209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46209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46209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46209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46209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46209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46209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46209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46209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46209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46209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46209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46209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46209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46209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46209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46209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46209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46209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46209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46209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46209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46209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46209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46209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46209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46209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46209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46209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46209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46209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46209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46209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46209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46209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46209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46209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46209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46209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46209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46209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46209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46209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46209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46209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46209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46209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46209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46209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46209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46209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46209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46209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46209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46209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46209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46209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46209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46209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46209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46209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46209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46209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46209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46209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46209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46209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46209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46209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46209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46209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46209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46209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46209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46209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46209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46209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46209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46209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46209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46209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46209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46209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46209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46209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46209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46209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46209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46209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46209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46209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46209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46209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46209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46209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46209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46209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46209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46209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46209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46209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46209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46209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46209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46209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46209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46209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46209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46209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46209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46209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46209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46209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46209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46209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46209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46209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46209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46209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46209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46209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46209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46209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46209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46209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46209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46209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46209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46209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46209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46209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46209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46209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46209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46209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46209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46209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46209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46209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46209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46209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46209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46209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46209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46209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46209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46209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46209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46209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46209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46209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46209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46209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46209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46209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46209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46209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46209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46209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46209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46209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46209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46209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46209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46209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46209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46209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46209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46209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46209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46209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46209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46209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46209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46209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46209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46209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46209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46209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46209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46209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46209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46209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46209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46209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46209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46209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46209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46209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46209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46209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46209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46209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46209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46209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46209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46209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46209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46209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46209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46209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46209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46209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46209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46209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46209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46209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46209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46209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46209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46209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46209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46209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46209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46209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46209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46209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46209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46209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46209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46209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46209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46209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46209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46209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46209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46209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46209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46209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46209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46209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46209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46209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46209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46209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46209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46209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46209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46209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46209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46209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46209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46209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46209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46209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46209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46209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46209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46209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46209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46209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46209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46209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46209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46209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46209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46209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46209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46209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46209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46209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46209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46209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46209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46209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46209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46209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46209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46209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46209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46209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46209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46209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46209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46209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46209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46209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46209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46209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46209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46209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46209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46209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46209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46209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46209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46209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46209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46209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46209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46209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46209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46209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46209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46209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46209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46209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46209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46209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46209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46209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46209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46209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46209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46209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46209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46209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46209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46209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46209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46209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46209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46209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46209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46209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46209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46209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46209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46209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46209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46209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46209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46209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46209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46209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46209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46209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46209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46209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46209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46209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46209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46209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46209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46209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46209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46209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46209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46209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46209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46209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46209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46209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46209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46209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46209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46209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46209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46209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46209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46209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46209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46209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46209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46209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46209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46209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46209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46209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46209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46209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46209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46209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46209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46209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46209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46209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46209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46209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46209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46209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46209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46209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46209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46209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46209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46209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46209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46209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46209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46209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46209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46209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46209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46209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46209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46209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46209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46209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46209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46209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46209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46209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46209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46209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46209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46209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46209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46209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46209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46209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46209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46209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46209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46209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46209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46209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46209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46209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46209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46209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46209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46209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46209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46209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46209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46209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46209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46209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46209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46209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46209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46209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46209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46209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46209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46209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46209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46209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46209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46209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46209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46209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46209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46209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46209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46209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46209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46209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46209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46209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46209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46209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46209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46209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46209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46209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46209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46209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46209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46209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46209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46209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46209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46209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46209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46209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46209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46209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46209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46209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46209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46209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46209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46209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46209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46209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46209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46209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46209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46209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46209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46209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46209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46209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46209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46209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46209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46209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46209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46209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46209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46209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46209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46209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46209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46209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46209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46209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46209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46209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46209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46209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46209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46209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46209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46209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46209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46209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46209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46209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46209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46209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46209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46209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46209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46209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46209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46209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46209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46209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46209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46209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46209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46209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46209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46209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46209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46209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46209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46209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46209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46209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46209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46209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46209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46209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46209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46209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46209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46209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46209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46209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46209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46209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46209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46209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46209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46209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46209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46209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46209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46209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46209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46209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46209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46209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46209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46209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46209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46209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46209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46209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46209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46209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46209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46209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46209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46209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46209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46209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46209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46209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46209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46209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46209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46209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46209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46209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46209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46209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46209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46209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46209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46209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46209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46209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46209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46209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46209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46209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46209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46209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46209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46209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46209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46209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46209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46209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46209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46209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46209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46209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46209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46209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46209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46209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46209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46209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46209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46209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46209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46209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46209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46209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46209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46209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46209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46209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46209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46209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46209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46209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46209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46209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46209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46209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46209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46209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46209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46209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46209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46209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46209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46209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46209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46209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46209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46209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46209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46209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46209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46209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46209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46209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46209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46209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46209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46209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46209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46209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46209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46209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46209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46209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46209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46209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46209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46209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46209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46209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46209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46209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46209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46209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46209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46209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46209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46209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46209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46209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46209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46209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46209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46209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46209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46209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46209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46209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46209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46209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46209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46209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46209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46209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46209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46209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46209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46209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46209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46209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46209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46209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46209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46209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46209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46209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46209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46209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46209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46209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46209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46209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46209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46209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46209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46209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46209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46209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46209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46209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46209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46209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46209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46209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46209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46209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46209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46209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46209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46209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46209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46209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46209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46209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46209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46209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46209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46209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46209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46209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46209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46209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46209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46209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46209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46209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46209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46209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46209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46209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46209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46209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46209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46209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46209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46209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46209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46209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46209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46209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46209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46209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46209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46209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46209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46209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46209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46209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46209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46209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46209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46209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46209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46209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46209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46209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46209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46209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46209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46209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46209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46209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46209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46209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46209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46209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46209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46209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46209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46209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46209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46209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46209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46209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46209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46209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46209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46209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46209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46209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46209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46209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46209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46209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46209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46209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46209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46209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46209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46209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46209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46209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46209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46209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46209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46209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46209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46209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46209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46209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46209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46209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46209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46209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46209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46209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46209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46209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46209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46209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46209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46209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46209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46209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46209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46209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46209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46209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46209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46209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46209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46209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46209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46209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46209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46209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46209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46209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46209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46209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46209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46209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46209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46209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46209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46209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46209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46209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46209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46209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46209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46209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46209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46209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46209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46209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46209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46209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46209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46209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46209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46209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46209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46209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46209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46209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46209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46209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46209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46209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46209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46209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46209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46209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46209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46209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46209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46209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46209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46209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46209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46209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46209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46209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46209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46209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46209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46209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46209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46209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46209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46209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46209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46209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46209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46209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46209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46209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46209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46209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46209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46209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46209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46209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46209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46209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46209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46209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46209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46209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46209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46209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46209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46209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46209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46209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46209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46209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46209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46209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46209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46209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46209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46209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46209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46209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46209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46209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46209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46209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46209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46209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46209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46209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46209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46209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46209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46209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46209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46209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46209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46209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46209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46209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46209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46209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46209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46209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46209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46209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46209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46209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46209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46209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46209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46209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46209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46209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46209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46209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46209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46209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46209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46209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46209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46209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46209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46209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46209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46209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46209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46209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46209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46209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46209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46209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46209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46209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46209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46209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46209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46209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46209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46209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46209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46209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46209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46209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46209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46209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46209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46209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46209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46209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46209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46209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46209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46209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46209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46209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46209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46209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46209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46209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46209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46209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46209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46209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46209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46209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46209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46209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46209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46209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46209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46209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46209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46209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46209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46209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46209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46209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46209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46209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46209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46209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46209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46209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46209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46209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46209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46209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46209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46209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46209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46209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46209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46209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46209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46209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46209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46209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46209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46209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46209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46209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46209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46209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46209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46209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46209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46209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46209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46209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46209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46209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46209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46209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46209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46209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46209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46209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46209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46209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46209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46209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46209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46209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46209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46209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46209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46209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46209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46209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46209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46209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46209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46209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46209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46209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46209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46209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46209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46209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46209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46209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46209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46209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46209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46209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46209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46209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46209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46209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46209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46209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46209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46209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46209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46209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46209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46209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46209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46209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46209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46209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46209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46209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46209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46209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46209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46209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46209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46209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46209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46209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46209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46209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46209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46209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46209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46209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46209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46209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46209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46209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46209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46209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46209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46209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46209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46209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46209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46209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46209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46209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46209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46209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46209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46209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46209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46209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46209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46209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46209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46209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46209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46209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46209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46209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46209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46209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46209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46209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46209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46209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46209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46209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46209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46209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46209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46209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46209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46209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46209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46209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46209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46209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46209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46209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46209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46209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46209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46209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46209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46209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46209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46209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46209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46209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46209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46209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46209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46209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46209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46209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46209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46209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46209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46209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46209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46209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46209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46209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46209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46209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46209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46209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46209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46209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46209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46209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46209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46209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46209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46209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46209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46209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46209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46209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46209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46209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46209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46209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46209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46209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46209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46209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46209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46209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46209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46209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46209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46209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46209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46209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46209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46209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46209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46209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46209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46209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46209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46209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46209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46209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46209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46209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46209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46209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46209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46209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46209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46209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46209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46209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46209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46209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46209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46209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46209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46209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46209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46209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46209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46209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46209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46209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46209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46209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46209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46209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46209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46209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46209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46209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46209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46209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46209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46209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46209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46209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46209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46209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46209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46209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46209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46209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46209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46209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46209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46209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46209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46209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46209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46209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46209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46209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46209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46209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46209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46209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46209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46209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46209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46209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46209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46209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46209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46209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46209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46209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46209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46209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46209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46209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46209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46209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46209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46209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46209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46209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46209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46209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46209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46209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46209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46209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46209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46209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46209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46209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46209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46209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46209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46209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46209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46209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46209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46209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46209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46209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46209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46209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46209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46209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46209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46209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46209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46209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46209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46209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46209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46209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46209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46209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46209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46209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46209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46209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46209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46209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46209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46209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46209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46209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46209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46209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46209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46209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46209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46209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46209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46209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46209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46209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46209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46209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46209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46209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46209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46209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46209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46209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46209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46209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46209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46209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46209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46209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46209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46209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46209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46209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46209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46209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46209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46209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46209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46209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46209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46209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46209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46209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46209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46209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46209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46209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46209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46209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46209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46209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46209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46209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46209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46209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46209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46209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46209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46209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46209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46209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46209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46209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46209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46209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46209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46209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46209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46209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46209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46209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46209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46209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46209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46209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46209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46209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46209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46209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46209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46209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46209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46209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46209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46209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46209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46209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46209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46209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46209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46209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46209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46209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46209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46209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46209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46209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46209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46209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46209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46209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46209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46209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46209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46209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46209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46209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46209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46209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46209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46209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46209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46209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46209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46209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46209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46209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46209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46209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46209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46209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46209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46209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46209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46209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46209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46209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46209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46209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46209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46209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46209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46209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46209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46209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46209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46209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46209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46209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46209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46209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46209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46209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46209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46209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46209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46209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46209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46209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46209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46209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46209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46209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46209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46209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46209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46209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46209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46209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46209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46209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46209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46209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46209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46209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46209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46209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46209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46209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46209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46209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46209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46209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46209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46209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46209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46209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46209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46209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46209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46209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46209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46209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46209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46209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46209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46209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46209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46209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46209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46209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46209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46209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46209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46209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46209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46209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46209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46209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46209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46209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46209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46209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46209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46209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46209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46209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46209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46209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46209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46209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46209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46209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46209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46209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46209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46209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46209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46209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46209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46209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46209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46209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46209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46209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46209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46209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46209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46209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46209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46209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46209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46209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46209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46209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46209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46209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46209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46209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46209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46209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46209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46209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46209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46209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46209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46209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46209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46209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46209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46209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46209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46209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46209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46209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46209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46209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46209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46209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46209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46209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46209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46209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46209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46209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46209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46209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46209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46209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46209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46209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46209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46209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46209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46209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46209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46209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46209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46209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46209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46209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46209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46209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46209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46209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46209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46209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46209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46209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46209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46209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46209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46209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46209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46209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46209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46209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46209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46209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46209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46209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46209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46209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46209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46209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46209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46209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46209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46209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46209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46209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46209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46209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46209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46209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46209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46209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46209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46209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46209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46209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46209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46209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46209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46209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46209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46209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46209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46209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46209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46209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46209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46209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46209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46209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46209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46209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46209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46209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46209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46209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46209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46209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46209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46209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46209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46209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46209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46209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46209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46209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46209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46209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46209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46209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46209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46209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46209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46209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46209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46209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46209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46209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46209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46209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46209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46209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46209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46209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46209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46209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46209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46209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46209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46209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46209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46209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46209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46209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46209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46209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46209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46209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46209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46209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46209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46209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46209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46209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46209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46209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46209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46209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46209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46209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46209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46209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46209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46209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46209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46209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46209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46209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46209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46209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46209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46209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46209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46209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46209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46209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46209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46209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46209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46209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46209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46209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46209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46209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46209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46209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46209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46209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46209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46209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46209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46209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46209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46209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46209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46209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46209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46209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46209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46209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46209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46209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46209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46209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46209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46209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46209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46209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46209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46209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46209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46209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46209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46209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46209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46209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46209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46209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46209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46209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46209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46209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46209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46209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46209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46209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46209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46209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46209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46209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46209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46209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46209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46209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46209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46209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46209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46209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46209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46209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46209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46209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46209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46209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46209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46209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46209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46209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46209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46209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46209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46209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46209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46209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46209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46209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46209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46209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46209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46209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46209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46209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46209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46209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46209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46209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46209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46209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46209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46209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46209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46209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46209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46209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46209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46209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46209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46209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46209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46209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46209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46209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46209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46209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46209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46209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46209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46209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46209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46209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46209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46209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46209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46209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46209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46209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46209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46209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46209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46209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46209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46209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46209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46209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46209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46209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46209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46209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46209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46209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46209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46209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46209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46209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46209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46209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46209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46209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46209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46209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46209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46209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46209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46209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46209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46209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46209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46209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46209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46209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46209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46209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46209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46209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46209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46209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46209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46209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46209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46209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46209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46209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46209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46209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46209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46209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46209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46209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46209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46209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46209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46209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46209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46209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46209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46209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46209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46209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46209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46209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46209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46209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46209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46209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46209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46209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46209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46209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46209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46209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46209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46209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46209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46209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46209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46209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46209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46209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46209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46209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46209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46209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46209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46209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46209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46209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46209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46209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46209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46209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46209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46209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46209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46209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46209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46209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46209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46209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46209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46209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46209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46209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46209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46209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46209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46209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46209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46209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46209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46209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46209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46209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46209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46209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46209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46209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46209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46209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46209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46209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46209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46209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46209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46209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46209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46209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46209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46209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46209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46209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46209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46209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46209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46209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46209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46209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46209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46209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46209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46209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46209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46209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46209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46209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46209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46209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46209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46209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46209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46209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46209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46209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46209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46209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46209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46209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46209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46209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46209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46209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46209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46209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46209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46209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46209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46209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46209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46209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46209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46209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46209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46209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46209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46209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46209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46209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46209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46209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46209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46209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46209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46209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46209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46209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46209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46209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46209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46209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46209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46209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46209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46209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46209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46209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46209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46209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46209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46209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46209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46209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46209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46209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46209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46209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46209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46209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46209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46209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46209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46209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46209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46209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46209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46209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46209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46209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46209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46209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46209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46209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46209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46209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46209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46209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46209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46209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46209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46209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46209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46209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46209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46209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46209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46209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46209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46209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46209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46209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46209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46209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46209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46209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46209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46209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46209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46209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46209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46209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46209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46209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46209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46209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46209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46209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46209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46209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46209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46209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46209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46209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46209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46209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46209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46209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46209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46209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46209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46209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46209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46209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46209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46209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46209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46209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46209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46209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46209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46209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46209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46209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46209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46209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46209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46209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46209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46209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46209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46209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46209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46209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46209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46209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46209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46209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46209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46209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46209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46209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46209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46209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46209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46209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46209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46209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46209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46209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46209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46209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46209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46209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46209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46209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46209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46209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46209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46209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46209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46209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46209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46209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46209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46209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46209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46209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46209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46209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46209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46209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46209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46209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46209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46209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46209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46209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46209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46209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46209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46209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46209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46209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46209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46209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46209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46209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46209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46209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46209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46209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46209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46209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46209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46209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46209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46209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46209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46209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46209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46209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46209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46209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46209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46209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46209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46209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46209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46209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46209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46209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46209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46209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46209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46209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46209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46209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46209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46209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46209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46209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46209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46209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46209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46209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46209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46209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46209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46209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46209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46209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46209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46209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46209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46209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46209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46209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46209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46209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46209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46209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46209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46209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46209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46209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46209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46209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46209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46209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46209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46209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46209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46209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46209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46209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46209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46209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46209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46209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46209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46209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46209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46209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46209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46209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46209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46209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46209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46209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46209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46209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46209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46209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46209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46209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46209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46209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46209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46209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46209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46209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46209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46209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46209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46209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46209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46209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46209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46209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46209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46209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46209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46209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46209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46209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46209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46209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46209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46209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46209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46209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46209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46209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46209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46209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46209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46209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46209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46209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46209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46209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46209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46209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46209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46209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46209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46209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46209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46209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46209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46209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46209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46209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46209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46209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46209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46209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46209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46209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46209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46209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46209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46209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46209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46209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46209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46209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46209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46209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46209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46209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46209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46209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46209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46209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46209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46209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46209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46209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46209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46209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46209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46209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46209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46209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46209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46209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46209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46209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46209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46209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46209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46209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46209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46209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46209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46209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46209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46209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46209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46209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46209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46209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46209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46209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46209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46209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46209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46209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46209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46209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46209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46209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46209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46209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46209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46209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46209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46209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46209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46209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46209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46209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46209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46209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46209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46209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46209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46209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46209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46209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46209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46209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46209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46209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46209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46209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46209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46209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46209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46209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46209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46209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46209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46209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46209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46209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46209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46209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46209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46209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46209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46209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46209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46209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46209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46209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46209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46209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46209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46209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46209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46209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46209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46209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46209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46209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46209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46209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46209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46209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46209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46209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46209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46209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46209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46209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46209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46209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46209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46209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46209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46209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46209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46209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46209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46209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46209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46209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46209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46209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46209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46209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46209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46209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46209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46209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46209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46209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46209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46209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46209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46209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46209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46209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46209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46209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46209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46209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46209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46209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46209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46209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46209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46209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46209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46209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46209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46209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46209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46209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46209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46209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46209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46209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46209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46209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46209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46209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46209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46209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46209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46209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46209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46209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46209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46209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46209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46209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46209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46209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46209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46209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46209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46209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46209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46209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46209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46209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46209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46209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46209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46209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46209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46209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46209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46209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46209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46209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46209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46209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46209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46209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46209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46209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46209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46209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46209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46209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46209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46209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46209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46209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46209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46209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46209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46209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46209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46209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46209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46209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46209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46209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46209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46209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46209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46209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46209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46209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46209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46209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46209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46209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46209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46209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46209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46209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46209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46209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46209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46209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46209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46209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46209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46209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46209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46209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46209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46209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46209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46209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46209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46209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46209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46209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46209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46209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46209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46209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46209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46209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46209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46209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46209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46209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46209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46209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46209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46209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46209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46209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46209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46209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46209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46209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46209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46209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46209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46209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46209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46209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46209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46209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46209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46209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46209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46209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46209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46209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46209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46209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46209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46209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46209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46209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46209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46209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46209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46209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46209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46209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46209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46209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46209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46209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46209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46209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46209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46209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46209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46209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46209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46209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46209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46209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46209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46209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46209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46209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46209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46209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46209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46209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46209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46209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46209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46209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46209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46209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46209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46209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46209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46209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46209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46209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46209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46209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46209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46209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46209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46209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46209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46209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46209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46209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46209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46209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46209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46209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46209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46209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46209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46209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46209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46209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46209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46209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46209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46209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46209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46209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46209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46209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46209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46209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46209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46209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46209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46209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46209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46209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46209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46209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46209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46209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46209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46209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46209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46209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46209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46209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46209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46209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46209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46209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46209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46209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46209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46209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46209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46209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46209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46209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46209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46209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46209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46209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46209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46209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46209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46209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46209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46209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46209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46209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46209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46209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46209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46209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46209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46209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46209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46209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46209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46209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46209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46209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46209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46209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46209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46209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46209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46209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46209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46209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46209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46209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46209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46209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46209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46209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46209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46209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46209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46209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46209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46209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46209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46209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46209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46209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46209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46209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46209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46209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46209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46209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46209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46209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46209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46209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46209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46209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46209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46209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46209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46209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46209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46209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46209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46209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46209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46209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46209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46209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46209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46209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46209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46209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46209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46209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46209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46209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46209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46209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46209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46209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46209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46209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46209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46209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46209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46209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46209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46209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46209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46209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46209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46209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46209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46209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46209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46209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46209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46209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46209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46209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46209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46209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46209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46209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46209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46209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46209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46209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46209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46209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46209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46209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46209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46209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46209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46209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46209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46209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46209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46209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46209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46209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46209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46209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46209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46209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46209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46209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46209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46209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46209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46209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46209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46209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46209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46209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46209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46209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46209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46209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46209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46209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46209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46209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46209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46209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46209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46209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46209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46209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46209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46209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46209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46209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46209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46209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46209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46209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46209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46209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46209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46209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46209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46209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46209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46209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46209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46209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46209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46209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46209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46209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46209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46209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46209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46209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46209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46209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46209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46209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46209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46209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46209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46209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46209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46209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46209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46209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46209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46209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46209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46209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46209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46209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46209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46209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46209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46209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46209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46209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46209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46209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46209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46209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46209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46209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46209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46209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46209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46209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46209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46209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46209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46209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46209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46209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46209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46209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46209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46209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46209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46209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46209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46209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46209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46209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46209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46209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46209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46209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46209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46209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46209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46209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46209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46209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46209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46209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46209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46209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46209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46209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46209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46209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46209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46209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46209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46209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46209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46209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46209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46209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46209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46209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46209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46209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46209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46209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46209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46209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46209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46209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46209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46209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46209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46209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46209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46209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46209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46209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46209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46209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46209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46209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46209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46209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46209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46209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46209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46209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46209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46209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46209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46209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46209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46209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46209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46209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46209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46209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46209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46209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46209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46209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46209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46209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46209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46209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46209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46209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46209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46209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46209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46209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46209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46209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46209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46209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46209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46209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46209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46209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46209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46209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46209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46209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46209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46209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46209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46209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46209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46209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46209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46209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46209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46209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46209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46209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46209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46209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46209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46209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46209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46209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46209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46209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46209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46209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46209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46209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46209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46209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46209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46209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46209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46209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46209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46209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46209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46209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46209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46209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46209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46209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46209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46209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46209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46209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46209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46209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46209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46209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46209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46209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46209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46209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46209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46209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46209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46209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46209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46209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46209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46209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46209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46209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46209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46209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46209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46209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46209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46209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46209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46209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46209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46209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46209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46209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46209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46209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46209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46209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46209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46209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46209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46209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46209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46209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46209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46209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46209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46209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46209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46209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46209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46209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46209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46209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46209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46209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46209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46209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46209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46209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46209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46209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46209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46209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46209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46209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46209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46209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46209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46209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46209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46209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46209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46209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46209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46209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46209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46209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46209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46209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46209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46209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46209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46209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46209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46209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46209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46209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46209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46209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46209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46209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46209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46209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46209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46209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46209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46209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46209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46209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46209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46209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46209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46209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46209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46209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46209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46209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46209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46209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46209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46209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46209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46209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46209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46209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46209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46209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46209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46209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46209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46209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46209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46209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46209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46209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46209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46209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46209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46209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46209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46209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46209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46209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46209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46209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46209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46209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46209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46209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46209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46209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46209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46209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46209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46209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46209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46209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46209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46209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46209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46209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46209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46209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46209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46209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46209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46209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46209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46209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46209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46209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46209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46209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46209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46209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46209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46209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46209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46209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46209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46209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46209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46209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46209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46209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46209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46209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46209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46209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46209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46209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46209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46209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46209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46209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46209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46209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46209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46209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46209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46209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46209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46209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46209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46209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46209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46209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46209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46209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46209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46209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46209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46209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46209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46209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46209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46209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46209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46209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46209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46209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46209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46209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46209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46209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46209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46209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46209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46209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46209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46209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46209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46209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46209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46209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46209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46209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46209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46209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46209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46209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46209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46209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46209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46209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46209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46209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46209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46209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46209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46209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46209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46209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46209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46209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46209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46209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46209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46209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46209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46209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46209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46209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46209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46209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46209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46209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46209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46209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46209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46209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46209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46209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46209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46209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46209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46209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46209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46209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46209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46209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46209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46209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46209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46209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46209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46209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46209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46209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46209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46209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46209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46209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46209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46209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46209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46209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46209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46209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46209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46209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46209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46209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46209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46209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46209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46209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46209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46209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46209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46209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46209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46209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46209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46209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46209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46209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46209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46209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46209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46209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46209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46209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46209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46209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46209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46209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46209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46209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46209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46209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46209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46209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46209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46209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46209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46209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46209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46209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46209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46209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46209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46209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46209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46209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46209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46209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46209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46209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46209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46209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46209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46209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46209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46209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46209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46209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46209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46209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46209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46209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46209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46209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46209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46209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46209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46209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46209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46209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46209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46209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46209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46209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46209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46209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46209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46209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46209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46209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46209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46209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46209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46209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46209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46209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46209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46209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46209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46209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46209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46209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46209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46209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46209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46209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46209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46209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46209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46209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46209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46209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46209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46209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46209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46209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46209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46209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46209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46209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46209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46209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46209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46209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46209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46209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46209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46209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46209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46209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46209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46209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46209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46209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46209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46209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46209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46209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46209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46209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46209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46209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46209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46209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46209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46209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46209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46209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46209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46209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46209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46209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46209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46209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46209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46209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46209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46209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46209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46209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46209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46209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46209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46209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46209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46209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46209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46209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46209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46209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46209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46209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46209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46209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46209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46209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46209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46209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46209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46209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46209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46209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46209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46209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46209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46209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46209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46209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46209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46209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46209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46209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46209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46209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46209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46209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46209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46209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46209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46209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46209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46209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46209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46209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46209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46209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46209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46209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46209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46209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46209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46209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46209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46209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46209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46209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46209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46209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46209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46209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46209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46209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46209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46209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46209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46209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46209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46209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46209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46209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46209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46209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46209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46209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46209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46209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46209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46209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46209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46209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46209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46209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46209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46209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46209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46209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46209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46209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46209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46209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46209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46209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46209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46209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46209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46209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46209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46209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46209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46209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46209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46209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46209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46209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46209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46209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46209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46209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46209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46209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46209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46209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46209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46209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46209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46209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46209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46209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46209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46209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46209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46209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46209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46209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46209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46209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46209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46209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46209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46209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46209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46209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46209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46209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46209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46209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46209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46209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46209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46209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46209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46209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46209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46209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46209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46209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46209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46209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46209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46209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46209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46209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46209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46209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46209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46209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46209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46209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46209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46209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46209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46209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46209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46209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46209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46209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46209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46209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46209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46209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46209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46209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46209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46209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46209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46209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46209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46209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46209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46209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46209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46209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46209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46209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46209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46209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46209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46209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46209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46209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46209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46209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46209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46209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46209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46209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46209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46209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46209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46209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46209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46209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46209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46209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46209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46209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46209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46209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46209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46209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46209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46209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46209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46209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46209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46209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46209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46209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46209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46209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46209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46209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46209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46209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46209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46209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46209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46209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46209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46209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46209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46209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46209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46209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46209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46209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46209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46209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46209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46209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46209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46209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46209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46209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46209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46209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46209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46209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46209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46209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46209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46209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46209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46209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46209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46209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46209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46209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46209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46209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46209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46209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46209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46209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46209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46209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46209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46209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46209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46209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46209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46209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46209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46209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46209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46209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46209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46209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46209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46209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46209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46209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46209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46209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46209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46209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46209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46209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46209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46209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46209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46209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46209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46209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46209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46209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46209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46209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46209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46209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46209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46209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46209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46209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46209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46209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46209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46209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46209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46209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46209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46209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46209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46209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46209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46209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46209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46209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46209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46209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46209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46209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46209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46209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46209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46209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46209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46209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46209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46209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46209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46209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46209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46209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46209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46209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46209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46209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46209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46209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46209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46209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46209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46209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46209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46209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46209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46209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46209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46209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46209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46209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46209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46209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46209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46209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46209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46209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46209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46209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46209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46209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46209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46209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46209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46209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46209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46209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46209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46209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46209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46209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46209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46209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46209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46209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46209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46209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46209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46209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46209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46209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46209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46209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46209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46209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46209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46209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46209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46209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46209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46209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46209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46209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46209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46209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46209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46209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46209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46209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46209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46209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46209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46209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46209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46209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46209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46209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46209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46209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46209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46209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46209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46209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46209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46209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46209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46209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46209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46209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46209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46209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46209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46209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46209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46209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46209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46209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46209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46209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46209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46209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46209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46209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46209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46209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46209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46209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46209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46209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46209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46209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46209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46209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46209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46209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46209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46209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46209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46209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46209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46209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46209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46209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46209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46209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46209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46209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46209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46209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46209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46209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46209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46209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46209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46209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46209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46209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46209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46209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46209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46209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46209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46209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46209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46209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46209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46209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46209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46209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46209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46209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46209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46209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46209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46209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46209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46209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46209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46209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46209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46209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46209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46209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46209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46209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46209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46209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46209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46209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46209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46209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46209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46209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46209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46209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46209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46209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46209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46209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46209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46209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46209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46209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46209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46209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46209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46209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46209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46209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46209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46209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46209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46209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46209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46209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46209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46209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46209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46209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46209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46209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46209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46209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46209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46209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46209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46209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46209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46209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46209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46209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46209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46209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46209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46209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46209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46209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46209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46209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46209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46209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46209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46209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46209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46209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46209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46209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46209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46209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46209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46209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46209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46209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46209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46209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46209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46209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46209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46209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46209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46209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46209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46209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46209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46209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46209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46209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46209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46209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46209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46209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46209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46209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46209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46209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46209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46209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46209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46209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46209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46209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46209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46209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46209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46209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46209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46209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46209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46209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46209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46209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46209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46209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46209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46209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46209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46209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46209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46209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46209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46209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46209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46209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46209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46209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46209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46209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46209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46209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46209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46209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46209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46209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46209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46209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46209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46209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46209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46209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46209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46209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46209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46209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46209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46209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46209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46209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46209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46209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46209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46209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46209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46209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46209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46209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46209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46209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46209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46209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46209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46209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46209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46209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46209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46209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46209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46209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46209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46209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46209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46209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46209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46209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46209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46209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46209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46209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46209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46209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46209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46209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46209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46209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46209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46209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46209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46209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46209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46209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46209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46209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46209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46209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46209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46209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46209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46209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46209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46209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46209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46209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46209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46209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46209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46209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46209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46209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46209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46209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46209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46209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46209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46209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46209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46209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46209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46209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46209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46209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46209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46209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46209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46209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46209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46209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46209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46209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46209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46209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46209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46209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46209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46209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46209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46209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46209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46209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46209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46209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46209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46209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46209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46209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46209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46209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46209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46209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46209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46209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46209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46209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46209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46209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46209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46209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46209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46209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46209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46209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46209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46209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46209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46209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46209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46209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46209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46209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46209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46209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46209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46209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46209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46209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46209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46209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46209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46209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46209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46209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46209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46209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46209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46209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46209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46209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46209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46209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46209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46209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46209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46209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46209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46209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46209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46209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46209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46209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46209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46209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46209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46209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46209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46209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46209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46209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46209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46209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46209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46209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46209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46209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46209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46209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46209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46209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46209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46209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46209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46209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46209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46209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46209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46209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46209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46209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46209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46209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46209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46209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46209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46209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46209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46209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46209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46209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46209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46209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46209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46209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46209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46209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46209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46209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46209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46209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46209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46209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46209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46209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46209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46209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46209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46209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46209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46209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46209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46209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46209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46209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46209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46209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46209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46209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46209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46209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46209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46209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46209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46209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46209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46209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46209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46209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46209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46209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46209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46209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46209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46209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46209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46209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46209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46209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46209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46209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46209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46209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46209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46209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46209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46209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46209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46209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46209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46209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46209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46209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46209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46209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46209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46209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46209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46209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46209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46209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46209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46209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46209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46209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46209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46209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46209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46209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46209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46209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46209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46209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46209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46209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46209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46209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46209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46209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46209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46209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46209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46209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46209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46209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46209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46209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46209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46209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46209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46209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46209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46209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46209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46209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46209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46209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46209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46209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46209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46209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46209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46209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46209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46209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46209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46209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46209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46209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46209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46209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46209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46209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46209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46209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46209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46209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46209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46209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46209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46209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46209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46209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46209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46209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46209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46209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46209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46209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46209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46209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46209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46209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46209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46209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46209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46209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46209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46209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46209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46209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46209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46209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46209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46209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46209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46209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46209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46209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46209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46209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46209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46209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46209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46209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46209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46209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46209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46209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46209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46209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46209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46209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46209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46209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46209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46209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46209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46209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46209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46209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46209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46209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46209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46209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46209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46209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46209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46209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46209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46209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46209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46209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46209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46209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46209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46209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46209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46209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46209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46209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46209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46209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46209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46209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46209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46209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46209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46209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46209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46209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46209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46209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46209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46209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46209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46209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46209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46209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46209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46209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46209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46209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46209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46209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46209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46209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46209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46209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46209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46209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46209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46209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46209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46209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46209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46209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46209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46209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46209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46209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46209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46209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46209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46209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46209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46209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46209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46209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46209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46209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46209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46209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46209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46209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46209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46209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46209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46209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46209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46209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46209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46209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46209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46209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46209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46209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46209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46209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46209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46209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46209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46209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46209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46209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46209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46209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46209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46209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46209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46209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46209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46209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46209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46209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46209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46209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46209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46209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46209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46209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46209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46209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46209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46209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46209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46209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46209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46209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46209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46209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46209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46209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46209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46209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46209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46209</v>
      </c>
      <c r="G14006" s="2">
        <f>F14006-E14006+1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COUNTIF(Log!$C$2:$C$14006,A2)</f>
        <v/>
      </c>
      <c r="C2" s="2">
        <f>COUNTIFS(Log!$C$2:$C$14006,A2,Log!$F$2:$F$14006,Zusammenfassung!$B$2)</f>
        <v/>
      </c>
      <c r="D2" s="2">
        <f>COUNTIFS(Log!$C$2:$C$14006,A2,Log!$F$2:$F$14006,"&lt;"&amp;Zusammenfassung!$B$2)</f>
        <v/>
      </c>
      <c r="E2" s="2">
        <f>IFERROR(ROUND(AVERAGEIFS(Log!$G$2:$G$14006,Log!$C$2:$C$14006,A2,Log!$F$2:$F$14006,"&lt;"&amp;Zusammenfassung!$B$2),1),"")</f>
        <v/>
      </c>
    </row>
    <row r="3">
      <c r="A3" s="2" t="inlineStr">
        <is>
          <t>Gabelstaplerfahrer/in</t>
        </is>
      </c>
      <c r="B3" s="2">
        <f>COUNTIF(Log!$C$2:$C$14006,A3)</f>
        <v/>
      </c>
      <c r="C3" s="2">
        <f>COUNTIFS(Log!$C$2:$C$14006,A3,Log!$F$2:$F$14006,Zusammenfassung!$B$2)</f>
        <v/>
      </c>
      <c r="D3" s="2">
        <f>COUNTIFS(Log!$C$2:$C$14006,A3,Log!$F$2:$F$14006,"&lt;"&amp;Zusammenfassung!$B$2)</f>
        <v/>
      </c>
      <c r="E3" s="2">
        <f>IFERROR(ROUND(AVERAGEIFS(Log!$G$2:$G$14006,Log!$C$2:$C$14006,A3,Log!$F$2:$F$14006,"&lt;"&amp;Zusammenfassung!$B$2),1),"")</f>
        <v/>
      </c>
    </row>
    <row r="4">
      <c r="A4" s="2" t="inlineStr">
        <is>
          <t>Industriemechaniker/in</t>
        </is>
      </c>
      <c r="B4" s="2">
        <f>COUNTIF(Log!$C$2:$C$14006,A4)</f>
        <v/>
      </c>
      <c r="C4" s="2">
        <f>COUNTIFS(Log!$C$2:$C$14006,A4,Log!$F$2:$F$14006,Zusammenfassung!$B$2)</f>
        <v/>
      </c>
      <c r="D4" s="2">
        <f>COUNTIFS(Log!$C$2:$C$14006,A4,Log!$F$2:$F$14006,"&lt;"&amp;Zusammenfassung!$B$2)</f>
        <v/>
      </c>
      <c r="E4" s="2">
        <f>IFERROR(ROUND(AVERAGEIFS(Log!$G$2:$G$14006,Log!$C$2:$C$14006,A4,Log!$F$2:$F$14006,"&lt;"&amp;Zusammenfassung!$B$2),1),"")</f>
        <v/>
      </c>
    </row>
    <row r="5">
      <c r="A5" s="2" t="inlineStr">
        <is>
          <t>Helfer/in - Reinigung</t>
        </is>
      </c>
      <c r="B5" s="2">
        <f>COUNTIF(Log!$C$2:$C$14006,A5)</f>
        <v/>
      </c>
      <c r="C5" s="2">
        <f>COUNTIFS(Log!$C$2:$C$14006,A5,Log!$F$2:$F$14006,Zusammenfassung!$B$2)</f>
        <v/>
      </c>
      <c r="D5" s="2">
        <f>COUNTIFS(Log!$C$2:$C$14006,A5,Log!$F$2:$F$14006,"&lt;"&amp;Zusammenfassung!$B$2)</f>
        <v/>
      </c>
      <c r="E5" s="2">
        <f>IFERROR(ROUND(AVERAGEIFS(Log!$G$2:$G$14006,Log!$C$2:$C$14006,A5,Log!$F$2:$F$14006,"&lt;"&amp;Zusammenfassung!$B$2),1),"")</f>
        <v/>
      </c>
    </row>
    <row r="6">
      <c r="A6" s="2" t="inlineStr">
        <is>
          <t>Helfer/in - Lagerwirtschaft, Transport</t>
        </is>
      </c>
      <c r="B6" s="2">
        <f>COUNTIF(Log!$C$2:$C$14006,A6)</f>
        <v/>
      </c>
      <c r="C6" s="2">
        <f>COUNTIFS(Log!$C$2:$C$14006,A6,Log!$F$2:$F$14006,Zusammenfassung!$B$2)</f>
        <v/>
      </c>
      <c r="D6" s="2">
        <f>COUNTIFS(Log!$C$2:$C$14006,A6,Log!$F$2:$F$14006,"&lt;"&amp;Zusammenfassung!$B$2)</f>
        <v/>
      </c>
      <c r="E6" s="2">
        <f>IFERROR(ROUND(AVERAGEIFS(Log!$G$2:$G$14006,Log!$C$2:$C$14006,A6,Log!$F$2:$F$14006,"&lt;"&amp;Zusammenfassung!$B$2),1),"")</f>
        <v/>
      </c>
    </row>
    <row r="7">
      <c r="A7" s="2" t="inlineStr">
        <is>
          <t>Berufskraftfahrer/in</t>
        </is>
      </c>
      <c r="B7" s="2">
        <f>COUNTIF(Log!$C$2:$C$14006,A7)</f>
        <v/>
      </c>
      <c r="C7" s="2">
        <f>COUNTIFS(Log!$C$2:$C$14006,A7,Log!$F$2:$F$14006,Zusammenfassung!$B$2)</f>
        <v/>
      </c>
      <c r="D7" s="2">
        <f>COUNTIFS(Log!$C$2:$C$14006,A7,Log!$F$2:$F$14006,"&lt;"&amp;Zusammenfassung!$B$2)</f>
        <v/>
      </c>
      <c r="E7" s="2">
        <f>IFERROR(ROUND(AVERAGEIFS(Log!$G$2:$G$14006,Log!$C$2:$C$14006,A7,Log!$F$2:$F$14006,"&lt;"&amp;Zusammenfassung!$B$2),1),"")</f>
        <v/>
      </c>
    </row>
    <row r="8">
      <c r="A8" s="2" t="inlineStr">
        <is>
          <t>Fachkraft - Lagerlogistik</t>
        </is>
      </c>
      <c r="B8" s="2">
        <f>COUNTIF(Log!$C$2:$C$14006,A8)</f>
        <v/>
      </c>
      <c r="C8" s="2">
        <f>COUNTIFS(Log!$C$2:$C$14006,A8,Log!$F$2:$F$14006,Zusammenfassung!$B$2)</f>
        <v/>
      </c>
      <c r="D8" s="2">
        <f>COUNTIFS(Log!$C$2:$C$14006,A8,Log!$F$2:$F$14006,"&lt;"&amp;Zusammenfassung!$B$2)</f>
        <v/>
      </c>
      <c r="E8" s="2">
        <f>IFERROR(ROUND(AVERAGEIFS(Log!$G$2:$G$14006,Log!$C$2:$C$14006,A8,Log!$F$2:$F$14006,"&lt;"&amp;Zusammenfassung!$B$2),1),"")</f>
        <v/>
      </c>
    </row>
    <row r="9">
      <c r="A9" s="2" t="inlineStr">
        <is>
          <t>Maschinen- und Anlagenführer/in (ohne Angabe des Schwerpunkts)</t>
        </is>
      </c>
      <c r="B9" s="2">
        <f>COUNTIF(Log!$C$2:$C$14006,A9)</f>
        <v/>
      </c>
      <c r="C9" s="2">
        <f>COUNTIFS(Log!$C$2:$C$14006,A9,Log!$F$2:$F$14006,Zusammenfassung!$B$2)</f>
        <v/>
      </c>
      <c r="D9" s="2">
        <f>COUNTIFS(Log!$C$2:$C$14006,A9,Log!$F$2:$F$14006,"&lt;"&amp;Zusammenfassung!$B$2)</f>
        <v/>
      </c>
      <c r="E9" s="2">
        <f>IFERROR(ROUND(AVERAGEIFS(Log!$G$2:$G$14006,Log!$C$2:$C$14006,A9,Log!$F$2:$F$14006,"&lt;"&amp;Zusammenfassung!$B$2),1),"")</f>
        <v/>
      </c>
    </row>
    <row r="10">
      <c r="A10" s="2" t="inlineStr">
        <is>
          <t>Helfer/in - Verkauf</t>
        </is>
      </c>
      <c r="B10" s="2">
        <f>COUNTIF(Log!$C$2:$C$14006,A10)</f>
        <v/>
      </c>
      <c r="C10" s="2">
        <f>COUNTIFS(Log!$C$2:$C$14006,A10,Log!$F$2:$F$14006,Zusammenfassung!$B$2)</f>
        <v/>
      </c>
      <c r="D10" s="2">
        <f>COUNTIFS(Log!$C$2:$C$14006,A10,Log!$F$2:$F$14006,"&lt;"&amp;Zusammenfassung!$B$2)</f>
        <v/>
      </c>
      <c r="E10" s="2">
        <f>IFERROR(ROUND(AVERAGEIFS(Log!$G$2:$G$14006,Log!$C$2:$C$14006,A10,Log!$F$2:$F$14006,"&lt;"&amp;Zusammenfassung!$B$2),1),"")</f>
        <v/>
      </c>
    </row>
    <row r="11">
      <c r="A11" s="2" t="inlineStr">
        <is>
          <t>Zerspanungsmechaniker/in</t>
        </is>
      </c>
      <c r="B11" s="2">
        <f>COUNTIF(Log!$C$2:$C$14006,A11)</f>
        <v/>
      </c>
      <c r="C11" s="2">
        <f>COUNTIFS(Log!$C$2:$C$14006,A11,Log!$F$2:$F$14006,Zusammenfassung!$B$2)</f>
        <v/>
      </c>
      <c r="D11" s="2">
        <f>COUNTIFS(Log!$C$2:$C$14006,A11,Log!$F$2:$F$14006,"&lt;"&amp;Zusammenfassung!$B$2)</f>
        <v/>
      </c>
      <c r="E11" s="2">
        <f>IFERROR(ROUND(AVERAGEIFS(Log!$G$2:$G$14006,Log!$C$2:$C$14006,A11,Log!$F$2:$F$14006,"&lt;"&amp;Zusammenfassung!$B$2),1),"")</f>
        <v/>
      </c>
    </row>
    <row r="12">
      <c r="A12" s="2" t="inlineStr">
        <is>
          <t>Lager- und Transportarbeiter/in</t>
        </is>
      </c>
      <c r="B12" s="2">
        <f>COUNTIF(Log!$C$2:$C$14006,A12)</f>
        <v/>
      </c>
      <c r="C12" s="2">
        <f>COUNTIFS(Log!$C$2:$C$14006,A12,Log!$F$2:$F$14006,Zusammenfassung!$B$2)</f>
        <v/>
      </c>
      <c r="D12" s="2">
        <f>COUNTIFS(Log!$C$2:$C$14006,A12,Log!$F$2:$F$14006,"&lt;"&amp;Zusammenfassung!$B$2)</f>
        <v/>
      </c>
      <c r="E12" s="2">
        <f>IFERROR(ROUND(AVERAGEIFS(Log!$G$2:$G$14006,Log!$C$2:$C$14006,A12,Log!$F$2:$F$14006,"&lt;"&amp;Zusammenfassung!$B$2),1),"")</f>
        <v/>
      </c>
    </row>
    <row r="13">
      <c r="A13" s="2" t="inlineStr">
        <is>
          <t>Helfer/in - Metallbearbeitung</t>
        </is>
      </c>
      <c r="B13" s="2">
        <f>COUNTIF(Log!$C$2:$C$14006,A13)</f>
        <v/>
      </c>
      <c r="C13" s="2">
        <f>COUNTIFS(Log!$C$2:$C$14006,A13,Log!$F$2:$F$14006,Zusammenfassung!$B$2)</f>
        <v/>
      </c>
      <c r="D13" s="2">
        <f>COUNTIFS(Log!$C$2:$C$14006,A13,Log!$F$2:$F$14006,"&lt;"&amp;Zusammenfassung!$B$2)</f>
        <v/>
      </c>
      <c r="E13" s="2">
        <f>IFERROR(ROUND(AVERAGEIFS(Log!$G$2:$G$14006,Log!$C$2:$C$14006,A13,Log!$F$2:$F$14006,"&lt;"&amp;Zusammenfassung!$B$2),1),"")</f>
        <v/>
      </c>
    </row>
    <row r="14">
      <c r="A14" s="2" t="inlineStr">
        <is>
          <t>Erzieher/in</t>
        </is>
      </c>
      <c r="B14" s="2">
        <f>COUNTIF(Log!$C$2:$C$14006,A14)</f>
        <v/>
      </c>
      <c r="C14" s="2">
        <f>COUNTIFS(Log!$C$2:$C$14006,A14,Log!$F$2:$F$14006,Zusammenfassung!$B$2)</f>
        <v/>
      </c>
      <c r="D14" s="2">
        <f>COUNTIFS(Log!$C$2:$C$14006,A14,Log!$F$2:$F$14006,"&lt;"&amp;Zusammenfassung!$B$2)</f>
        <v/>
      </c>
      <c r="E14" s="2">
        <f>IFERROR(ROUND(AVERAGEIFS(Log!$G$2:$G$14006,Log!$C$2:$C$14006,A14,Log!$F$2:$F$14006,"&lt;"&amp;Zusammenfassung!$B$2),1),"")</f>
        <v/>
      </c>
    </row>
    <row r="15">
      <c r="A15" s="2" t="inlineStr">
        <is>
          <t>Altenpfleger/in</t>
        </is>
      </c>
      <c r="B15" s="2">
        <f>COUNTIF(Log!$C$2:$C$14006,A15)</f>
        <v/>
      </c>
      <c r="C15" s="2">
        <f>COUNTIFS(Log!$C$2:$C$14006,A15,Log!$F$2:$F$14006,Zusammenfassung!$B$2)</f>
        <v/>
      </c>
      <c r="D15" s="2">
        <f>COUNTIFS(Log!$C$2:$C$14006,A15,Log!$F$2:$F$14006,"&lt;"&amp;Zusammenfassung!$B$2)</f>
        <v/>
      </c>
      <c r="E15" s="2">
        <f>IFERROR(ROUND(AVERAGEIFS(Log!$G$2:$G$14006,Log!$C$2:$C$14006,A15,Log!$F$2:$F$14006,"&lt;"&amp;Zusammenfassung!$B$2),1),"")</f>
        <v/>
      </c>
    </row>
    <row r="16">
      <c r="A16" s="2" t="inlineStr">
        <is>
          <t>Filialleiter/in, Verkaufsstellenleiter/in</t>
        </is>
      </c>
      <c r="B16" s="2">
        <f>COUNTIF(Log!$C$2:$C$14006,A16)</f>
        <v/>
      </c>
      <c r="C16" s="2">
        <f>COUNTIFS(Log!$C$2:$C$14006,A16,Log!$F$2:$F$14006,Zusammenfassung!$B$2)</f>
        <v/>
      </c>
      <c r="D16" s="2">
        <f>COUNTIFS(Log!$C$2:$C$14006,A16,Log!$F$2:$F$14006,"&lt;"&amp;Zusammenfassung!$B$2)</f>
        <v/>
      </c>
      <c r="E16" s="2">
        <f>IFERROR(ROUND(AVERAGEIFS(Log!$G$2:$G$14006,Log!$C$2:$C$14006,A16,Log!$F$2:$F$14006,"&lt;"&amp;Zusammenfassung!$B$2),1),"")</f>
        <v/>
      </c>
    </row>
    <row r="17">
      <c r="A17" s="2" t="inlineStr">
        <is>
          <t>Ingenieur/in - Elektrotechnik</t>
        </is>
      </c>
      <c r="B17" s="2">
        <f>COUNTIF(Log!$C$2:$C$14006,A17)</f>
        <v/>
      </c>
      <c r="C17" s="2">
        <f>COUNTIFS(Log!$C$2:$C$14006,A17,Log!$F$2:$F$14006,Zusammenfassung!$B$2)</f>
        <v/>
      </c>
      <c r="D17" s="2">
        <f>COUNTIFS(Log!$C$2:$C$14006,A17,Log!$F$2:$F$14006,"&lt;"&amp;Zusammenfassung!$B$2)</f>
        <v/>
      </c>
      <c r="E17" s="2">
        <f>IFERROR(ROUND(AVERAGEIFS(Log!$G$2:$G$14006,Log!$C$2:$C$14006,A17,Log!$F$2:$F$14006,"&lt;"&amp;Zusammenfassung!$B$2),1),"")</f>
        <v/>
      </c>
    </row>
    <row r="18">
      <c r="A18" s="2" t="inlineStr">
        <is>
          <t>Montierer/in</t>
        </is>
      </c>
      <c r="B18" s="2">
        <f>COUNTIF(Log!$C$2:$C$14006,A18)</f>
        <v/>
      </c>
      <c r="C18" s="2">
        <f>COUNTIFS(Log!$C$2:$C$14006,A18,Log!$F$2:$F$14006,Zusammenfassung!$B$2)</f>
        <v/>
      </c>
      <c r="D18" s="2">
        <f>COUNTIFS(Log!$C$2:$C$14006,A18,Log!$F$2:$F$14006,"&lt;"&amp;Zusammenfassung!$B$2)</f>
        <v/>
      </c>
      <c r="E18" s="2">
        <f>IFERROR(ROUND(AVERAGEIFS(Log!$G$2:$G$14006,Log!$C$2:$C$14006,A18,Log!$F$2:$F$14006,"&lt;"&amp;Zusammenfassung!$B$2),1),"")</f>
        <v/>
      </c>
    </row>
    <row r="19">
      <c r="A19" s="2" t="inlineStr">
        <is>
          <t>Mechatroniker/in</t>
        </is>
      </c>
      <c r="B19" s="2">
        <f>COUNTIF(Log!$C$2:$C$14006,A19)</f>
        <v/>
      </c>
      <c r="C19" s="2">
        <f>COUNTIFS(Log!$C$2:$C$14006,A19,Log!$F$2:$F$14006,Zusammenfassung!$B$2)</f>
        <v/>
      </c>
      <c r="D19" s="2">
        <f>COUNTIFS(Log!$C$2:$C$14006,A19,Log!$F$2:$F$14006,"&lt;"&amp;Zusammenfassung!$B$2)</f>
        <v/>
      </c>
      <c r="E19" s="2">
        <f>IFERROR(ROUND(AVERAGEIFS(Log!$G$2:$G$14006,Log!$C$2:$C$14006,A19,Log!$F$2:$F$14006,"&lt;"&amp;Zusammenfassung!$B$2),1),"")</f>
        <v/>
      </c>
    </row>
    <row r="20">
      <c r="A20" s="2" t="inlineStr">
        <is>
          <t>Gesundheits- und Krankenpfleger/in</t>
        </is>
      </c>
      <c r="B20" s="2">
        <f>COUNTIF(Log!$C$2:$C$14006,A20)</f>
        <v/>
      </c>
      <c r="C20" s="2">
        <f>COUNTIFS(Log!$C$2:$C$14006,A20,Log!$F$2:$F$14006,Zusammenfassung!$B$2)</f>
        <v/>
      </c>
      <c r="D20" s="2">
        <f>COUNTIFS(Log!$C$2:$C$14006,A20,Log!$F$2:$F$14006,"&lt;"&amp;Zusammenfassung!$B$2)</f>
        <v/>
      </c>
      <c r="E20" s="2">
        <f>IFERROR(ROUND(AVERAGEIFS(Log!$G$2:$G$14006,Log!$C$2:$C$14006,A20,Log!$F$2:$F$14006,"&lt;"&amp;Zusammenfassung!$B$2),1),"")</f>
        <v/>
      </c>
    </row>
    <row r="21">
      <c r="A21" s="2" t="inlineStr">
        <is>
          <t>Elektroniker/in - Betriebstechnik</t>
        </is>
      </c>
      <c r="B21" s="2">
        <f>COUNTIF(Log!$C$2:$C$14006,A21)</f>
        <v/>
      </c>
      <c r="C21" s="2">
        <f>COUNTIFS(Log!$C$2:$C$14006,A21,Log!$F$2:$F$14006,Zusammenfassung!$B$2)</f>
        <v/>
      </c>
      <c r="D21" s="2">
        <f>COUNTIFS(Log!$C$2:$C$14006,A21,Log!$F$2:$F$14006,"&lt;"&amp;Zusammenfassung!$B$2)</f>
        <v/>
      </c>
      <c r="E21" s="2">
        <f>IFERROR(ROUND(AVERAGEIFS(Log!$G$2:$G$14006,Log!$C$2:$C$14006,A21,Log!$F$2:$F$14006,"&lt;"&amp;Zusammenfassung!$B$2),1),"")</f>
        <v/>
      </c>
    </row>
    <row r="22">
      <c r="A22" s="2" t="inlineStr">
        <is>
          <t>Anlagenmechaniker/in - Sanitär-, Heizungs- und Klimatechnik</t>
        </is>
      </c>
      <c r="B22" s="2">
        <f>COUNTIF(Log!$C$2:$C$14006,A22)</f>
        <v/>
      </c>
      <c r="C22" s="2">
        <f>COUNTIFS(Log!$C$2:$C$14006,A22,Log!$F$2:$F$14006,Zusammenfassung!$B$2)</f>
        <v/>
      </c>
      <c r="D22" s="2">
        <f>COUNTIFS(Log!$C$2:$C$14006,A22,Log!$F$2:$F$14006,"&lt;"&amp;Zusammenfassung!$B$2)</f>
        <v/>
      </c>
      <c r="E22" s="2">
        <f>IFERROR(ROUND(AVERAGEIFS(Log!$G$2:$G$14006,Log!$C$2:$C$14006,A22,Log!$F$2:$F$14006,"&lt;"&amp;Zusammenfassung!$B$2),1),"")</f>
        <v/>
      </c>
    </row>
    <row r="23">
      <c r="A23" s="2" t="inlineStr">
        <is>
          <t>Elektroniker/in - Energie- und Gebäudetechnik</t>
        </is>
      </c>
      <c r="B23" s="2">
        <f>COUNTIF(Log!$C$2:$C$14006,A23)</f>
        <v/>
      </c>
      <c r="C23" s="2">
        <f>COUNTIFS(Log!$C$2:$C$14006,A23,Log!$F$2:$F$14006,Zusammenfassung!$B$2)</f>
        <v/>
      </c>
      <c r="D23" s="2">
        <f>COUNTIFS(Log!$C$2:$C$14006,A23,Log!$F$2:$F$14006,"&lt;"&amp;Zusammenfassung!$B$2)</f>
        <v/>
      </c>
      <c r="E23" s="2">
        <f>IFERROR(ROUND(AVERAGEIFS(Log!$G$2:$G$14006,Log!$C$2:$C$14006,A23,Log!$F$2:$F$14006,"&lt;"&amp;Zusammenfassung!$B$2),1),"")</f>
        <v/>
      </c>
    </row>
    <row r="24">
      <c r="A24" s="2" t="inlineStr">
        <is>
          <t>Fachlagerist/in</t>
        </is>
      </c>
      <c r="B24" s="2">
        <f>COUNTIF(Log!$C$2:$C$14006,A24)</f>
        <v/>
      </c>
      <c r="C24" s="2">
        <f>COUNTIFS(Log!$C$2:$C$14006,A24,Log!$F$2:$F$14006,Zusammenfassung!$B$2)</f>
        <v/>
      </c>
      <c r="D24" s="2">
        <f>COUNTIFS(Log!$C$2:$C$14006,A24,Log!$F$2:$F$14006,"&lt;"&amp;Zusammenfassung!$B$2)</f>
        <v/>
      </c>
      <c r="E24" s="2">
        <f>IFERROR(ROUND(AVERAGEIFS(Log!$G$2:$G$14006,Log!$C$2:$C$14006,A24,Log!$F$2:$F$14006,"&lt;"&amp;Zusammenfassung!$B$2),1),"")</f>
        <v/>
      </c>
    </row>
    <row r="25">
      <c r="A25" s="2" t="inlineStr">
        <is>
          <t>Medizinische/r Fachangestellte/r</t>
        </is>
      </c>
      <c r="B25" s="2">
        <f>COUNTIF(Log!$C$2:$C$14006,A25)</f>
        <v/>
      </c>
      <c r="C25" s="2">
        <f>COUNTIFS(Log!$C$2:$C$14006,A25,Log!$F$2:$F$14006,Zusammenfassung!$B$2)</f>
        <v/>
      </c>
      <c r="D25" s="2">
        <f>COUNTIFS(Log!$C$2:$C$14006,A25,Log!$F$2:$F$14006,"&lt;"&amp;Zusammenfassung!$B$2)</f>
        <v/>
      </c>
      <c r="E25" s="2">
        <f>IFERROR(ROUND(AVERAGEIFS(Log!$G$2:$G$14006,Log!$C$2:$C$14006,A25,Log!$F$2:$F$14006,"&lt;"&amp;Zusammenfassung!$B$2),1),"")</f>
        <v/>
      </c>
    </row>
    <row r="26">
      <c r="A26" s="2" t="inlineStr">
        <is>
          <t>Koch/Köchin</t>
        </is>
      </c>
      <c r="B26" s="2">
        <f>COUNTIF(Log!$C$2:$C$14006,A26)</f>
        <v/>
      </c>
      <c r="C26" s="2">
        <f>COUNTIFS(Log!$C$2:$C$14006,A26,Log!$F$2:$F$14006,Zusammenfassung!$B$2)</f>
        <v/>
      </c>
      <c r="D26" s="2">
        <f>COUNTIFS(Log!$C$2:$C$14006,A26,Log!$F$2:$F$14006,"&lt;"&amp;Zusammenfassung!$B$2)</f>
        <v/>
      </c>
      <c r="E26" s="2">
        <f>IFERROR(ROUND(AVERAGEIFS(Log!$G$2:$G$14006,Log!$C$2:$C$14006,A26,Log!$F$2:$F$14006,"&lt;"&amp;Zusammenfassung!$B$2),1),"")</f>
        <v/>
      </c>
    </row>
    <row r="27">
      <c r="A27" s="2" t="inlineStr">
        <is>
          <t>Bürokaufmann/-frau</t>
        </is>
      </c>
      <c r="B27" s="2">
        <f>COUNTIF(Log!$C$2:$C$14006,A27)</f>
        <v/>
      </c>
      <c r="C27" s="2">
        <f>COUNTIFS(Log!$C$2:$C$14006,A27,Log!$F$2:$F$14006,Zusammenfassung!$B$2)</f>
        <v/>
      </c>
      <c r="D27" s="2">
        <f>COUNTIFS(Log!$C$2:$C$14006,A27,Log!$F$2:$F$14006,"&lt;"&amp;Zusammenfassung!$B$2)</f>
        <v/>
      </c>
      <c r="E27" s="2">
        <f>IFERROR(ROUND(AVERAGEIFS(Log!$G$2:$G$14006,Log!$C$2:$C$14006,A27,Log!$F$2:$F$14006,"&lt;"&amp;Zusammenfassung!$B$2),1),"")</f>
        <v/>
      </c>
    </row>
    <row r="28">
      <c r="A28" s="2" t="inlineStr">
        <is>
          <t>Maschinen- und Anlagenführer/in - Metall-, Kunststofftechnik</t>
        </is>
      </c>
      <c r="B28" s="2">
        <f>COUNTIF(Log!$C$2:$C$14006,A28)</f>
        <v/>
      </c>
      <c r="C28" s="2">
        <f>COUNTIFS(Log!$C$2:$C$14006,A28,Log!$F$2:$F$14006,Zusammenfassung!$B$2)</f>
        <v/>
      </c>
      <c r="D28" s="2">
        <f>COUNTIFS(Log!$C$2:$C$14006,A28,Log!$F$2:$F$14006,"&lt;"&amp;Zusammenfassung!$B$2)</f>
        <v/>
      </c>
      <c r="E28" s="2">
        <f>IFERROR(ROUND(AVERAGEIFS(Log!$G$2:$G$14006,Log!$C$2:$C$14006,A28,Log!$F$2:$F$14006,"&lt;"&amp;Zusammenfassung!$B$2),1),"")</f>
        <v/>
      </c>
    </row>
    <row r="29">
      <c r="A29" s="2" t="inlineStr">
        <is>
          <t>Elektroanlagenmonteur/in</t>
        </is>
      </c>
      <c r="B29" s="2">
        <f>COUNTIF(Log!$C$2:$C$14006,A29)</f>
        <v/>
      </c>
      <c r="C29" s="2">
        <f>COUNTIFS(Log!$C$2:$C$14006,A29,Log!$F$2:$F$14006,Zusammenfassung!$B$2)</f>
        <v/>
      </c>
      <c r="D29" s="2">
        <f>COUNTIFS(Log!$C$2:$C$14006,A29,Log!$F$2:$F$14006,"&lt;"&amp;Zusammenfassung!$B$2)</f>
        <v/>
      </c>
      <c r="E29" s="2">
        <f>IFERROR(ROUND(AVERAGEIFS(Log!$G$2:$G$14006,Log!$C$2:$C$14006,A29,Log!$F$2:$F$14006,"&lt;"&amp;Zusammenfassung!$B$2),1),"")</f>
        <v/>
      </c>
    </row>
    <row r="30">
      <c r="A30" s="2" t="inlineStr">
        <is>
          <t>Schweißer/in</t>
        </is>
      </c>
      <c r="B30" s="2">
        <f>COUNTIF(Log!$C$2:$C$14006,A30)</f>
        <v/>
      </c>
      <c r="C30" s="2">
        <f>COUNTIFS(Log!$C$2:$C$14006,A30,Log!$F$2:$F$14006,Zusammenfassung!$B$2)</f>
        <v/>
      </c>
      <c r="D30" s="2">
        <f>COUNTIFS(Log!$C$2:$C$14006,A30,Log!$F$2:$F$14006,"&lt;"&amp;Zusammenfassung!$B$2)</f>
        <v/>
      </c>
      <c r="E30" s="2">
        <f>IFERROR(ROUND(AVERAGEIFS(Log!$G$2:$G$14006,Log!$C$2:$C$14006,A30,Log!$F$2:$F$14006,"&lt;"&amp;Zusammenfassung!$B$2),1),"")</f>
        <v/>
      </c>
    </row>
    <row r="31">
      <c r="A31" s="2" t="inlineStr">
        <is>
          <t>IT-Systemadministrator/in</t>
        </is>
      </c>
      <c r="B31" s="2">
        <f>COUNTIF(Log!$C$2:$C$14006,A31)</f>
        <v/>
      </c>
      <c r="C31" s="2">
        <f>COUNTIFS(Log!$C$2:$C$14006,A31,Log!$F$2:$F$14006,Zusammenfassung!$B$2)</f>
        <v/>
      </c>
      <c r="D31" s="2">
        <f>COUNTIFS(Log!$C$2:$C$14006,A31,Log!$F$2:$F$14006,"&lt;"&amp;Zusammenfassung!$B$2)</f>
        <v/>
      </c>
      <c r="E31" s="2">
        <f>IFERROR(ROUND(AVERAGEIFS(Log!$G$2:$G$14006,Log!$C$2:$C$14006,A31,Log!$F$2:$F$14006,"&lt;"&amp;Zusammenfassung!$B$2),1),"")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COUNTIFS(Log!$D$2:$D$14006,A2,Log!$F$2:$F$14006,Zusammenfassung!$B$2)</f>
        <v/>
      </c>
      <c r="C2" s="2">
        <f>COUNTIF(Log!$D$2:$D$14006,A2)</f>
        <v/>
      </c>
    </row>
    <row r="3">
      <c r="A3" s="2" t="inlineStr">
        <is>
          <t>SOCCO GROUP GmbH NL Schorndorf</t>
        </is>
      </c>
      <c r="B3" s="2">
        <f>COUNTIFS(Log!$D$2:$D$14006,A3,Log!$F$2:$F$14006,Zusammenfassung!$B$2)</f>
        <v/>
      </c>
      <c r="C3" s="2">
        <f>COUNTIF(Log!$D$2:$D$14006,A3)</f>
        <v/>
      </c>
    </row>
    <row r="4">
      <c r="A4" s="2" t="inlineStr">
        <is>
          <t>DEKRA Arbeit GmbH</t>
        </is>
      </c>
      <c r="B4" s="2">
        <f>COUNTIFS(Log!$D$2:$D$14006,A4,Log!$F$2:$F$14006,Zusammenfassung!$B$2)</f>
        <v/>
      </c>
      <c r="C4" s="2">
        <f>COUNTIF(Log!$D$2:$D$14006,A4)</f>
        <v/>
      </c>
    </row>
    <row r="5">
      <c r="A5" s="2" t="inlineStr">
        <is>
          <t>Lidl Dienstleistung GmbH &amp; Co. KG</t>
        </is>
      </c>
      <c r="B5" s="2">
        <f>COUNTIFS(Log!$D$2:$D$14006,A5,Log!$F$2:$F$14006,Zusammenfassung!$B$2)</f>
        <v/>
      </c>
      <c r="C5" s="2">
        <f>COUNTIF(Log!$D$2:$D$14006,A5)</f>
        <v/>
      </c>
    </row>
    <row r="6">
      <c r="A6" s="2" t="inlineStr">
        <is>
          <t>Netto Marken-Discount Stiftung &amp; Co. KG</t>
        </is>
      </c>
      <c r="B6" s="2">
        <f>COUNTIFS(Log!$D$2:$D$14006,A6,Log!$F$2:$F$14006,Zusammenfassung!$B$2)</f>
        <v/>
      </c>
      <c r="C6" s="2">
        <f>COUNTIF(Log!$D$2:$D$14006,A6)</f>
        <v/>
      </c>
    </row>
    <row r="7">
      <c r="A7" s="2" t="inlineStr">
        <is>
          <t>SOCCO Leonberg GmbH</t>
        </is>
      </c>
      <c r="B7" s="2">
        <f>COUNTIFS(Log!$D$2:$D$14006,A7,Log!$F$2:$F$14006,Zusammenfassung!$B$2)</f>
        <v/>
      </c>
      <c r="C7" s="2">
        <f>COUNTIF(Log!$D$2:$D$14006,A7)</f>
        <v/>
      </c>
    </row>
    <row r="8">
      <c r="A8" s="2" t="inlineStr">
        <is>
          <t>temPERSO Rummel &amp; Glass GmbH</t>
        </is>
      </c>
      <c r="B8" s="2">
        <f>COUNTIFS(Log!$D$2:$D$14006,A8,Log!$F$2:$F$14006,Zusammenfassung!$B$2)</f>
        <v/>
      </c>
      <c r="C8" s="2">
        <f>COUNTIF(Log!$D$2:$D$14006,A8)</f>
        <v/>
      </c>
    </row>
    <row r="9">
      <c r="A9" s="2" t="inlineStr">
        <is>
          <t>Tempton Personaldienstleistungen GmbH NL Ludwigsburg</t>
        </is>
      </c>
      <c r="B9" s="2">
        <f>COUNTIFS(Log!$D$2:$D$14006,A9,Log!$F$2:$F$14006,Zusammenfassung!$B$2)</f>
        <v/>
      </c>
      <c r="C9" s="2">
        <f>COUNTIF(Log!$D$2:$D$14006,A9)</f>
        <v/>
      </c>
    </row>
    <row r="10">
      <c r="A10" s="2" t="inlineStr">
        <is>
          <t>JobImpulse Süd GmbH Esslingen</t>
        </is>
      </c>
      <c r="B10" s="2">
        <f>COUNTIFS(Log!$D$2:$D$14006,A10,Log!$F$2:$F$14006,Zusammenfassung!$B$2)</f>
        <v/>
      </c>
      <c r="C10" s="2">
        <f>COUNTIF(Log!$D$2:$D$14006,A10)</f>
        <v/>
      </c>
    </row>
    <row r="11">
      <c r="A11" s="2" t="inlineStr">
        <is>
          <t>K-Plus Personalmanagement GmbH</t>
        </is>
      </c>
      <c r="B11" s="2">
        <f>COUNTIFS(Log!$D$2:$D$14006,A11,Log!$F$2:$F$14006,Zusammenfassung!$B$2)</f>
        <v/>
      </c>
      <c r="C11" s="2">
        <f>COUNTIF(Log!$D$2:$D$14006,A11)</f>
        <v/>
      </c>
    </row>
    <row r="12">
      <c r="A12" s="2" t="inlineStr">
        <is>
          <t>Randstad Deutschland</t>
        </is>
      </c>
      <c r="B12" s="2">
        <f>COUNTIFS(Log!$D$2:$D$14006,A12,Log!$F$2:$F$14006,Zusammenfassung!$B$2)</f>
        <v/>
      </c>
      <c r="C12" s="2">
        <f>COUNTIF(Log!$D$2:$D$14006,A12)</f>
        <v/>
      </c>
    </row>
    <row r="13">
      <c r="A13" s="2" t="inlineStr">
        <is>
          <t>Tempton Personaldienstleistungen GmbH NL Aalen</t>
        </is>
      </c>
      <c r="B13" s="2">
        <f>COUNTIFS(Log!$D$2:$D$14006,A13,Log!$F$2:$F$14006,Zusammenfassung!$B$2)</f>
        <v/>
      </c>
      <c r="C13" s="2">
        <f>COUNTIF(Log!$D$2:$D$14006,A13)</f>
        <v/>
      </c>
    </row>
    <row r="14">
      <c r="A14" s="2" t="inlineStr">
        <is>
          <t>Diakonie Stetten e.V.</t>
        </is>
      </c>
      <c r="B14" s="2">
        <f>COUNTIFS(Log!$D$2:$D$14006,A14,Log!$F$2:$F$14006,Zusammenfassung!$B$2)</f>
        <v/>
      </c>
      <c r="C14" s="2">
        <f>COUNTIF(Log!$D$2:$D$14006,A14)</f>
        <v/>
      </c>
    </row>
    <row r="15">
      <c r="A15" s="2" t="inlineStr">
        <is>
          <t>Kliniken Ostalb</t>
        </is>
      </c>
      <c r="B15" s="2">
        <f>COUNTIFS(Log!$D$2:$D$14006,A15,Log!$F$2:$F$14006,Zusammenfassung!$B$2)</f>
        <v/>
      </c>
      <c r="C15" s="2">
        <f>COUNTIF(Log!$D$2:$D$14006,A15)</f>
        <v/>
      </c>
    </row>
    <row r="16">
      <c r="A16" s="2" t="inlineStr">
        <is>
          <t>REWE Markt GmbH ZwNL Südwest</t>
        </is>
      </c>
      <c r="B16" s="2">
        <f>COUNTIFS(Log!$D$2:$D$14006,A16,Log!$F$2:$F$14006,Zusammenfassung!$B$2)</f>
        <v/>
      </c>
      <c r="C16" s="2">
        <f>COUNTIF(Log!$D$2:$D$14006,A16)</f>
        <v/>
      </c>
    </row>
    <row r="17">
      <c r="A17" s="2" t="inlineStr">
        <is>
          <t>Waiblinger Zeitarbeit GmbH</t>
        </is>
      </c>
      <c r="B17" s="2">
        <f>COUNTIFS(Log!$D$2:$D$14006,A17,Log!$F$2:$F$14006,Zusammenfassung!$B$2)</f>
        <v/>
      </c>
      <c r="C17" s="2">
        <f>COUNTIF(Log!$D$2:$D$14006,A17)</f>
        <v/>
      </c>
    </row>
    <row r="18">
      <c r="A18" s="2" t="inlineStr">
        <is>
          <t>PSAV Personalserv.&amp;Arbeitsverm</t>
        </is>
      </c>
      <c r="B18" s="2">
        <f>COUNTIFS(Log!$D$2:$D$14006,A18,Log!$F$2:$F$14006,Zusammenfassung!$B$2)</f>
        <v/>
      </c>
      <c r="C18" s="2">
        <f>COUNTIF(Log!$D$2:$D$14006,A18)</f>
        <v/>
      </c>
    </row>
    <row r="19">
      <c r="A19" s="2" t="inlineStr">
        <is>
          <t>Klinikum der Landeshauptstadt Stuttgart gKAöR</t>
        </is>
      </c>
      <c r="B19" s="2">
        <f>COUNTIFS(Log!$D$2:$D$14006,A19,Log!$F$2:$F$14006,Zusammenfassung!$B$2)</f>
        <v/>
      </c>
      <c r="C19" s="2">
        <f>COUNTIF(Log!$D$2:$D$14006,A19)</f>
        <v/>
      </c>
    </row>
    <row r="20">
      <c r="A20" s="2" t="inlineStr">
        <is>
          <t>TOP Personaldienstleistungen GmbH</t>
        </is>
      </c>
      <c r="B20" s="2">
        <f>COUNTIFS(Log!$D$2:$D$14006,A20,Log!$F$2:$F$14006,Zusammenfassung!$B$2)</f>
        <v/>
      </c>
      <c r="C20" s="2">
        <f>COUNTIF(Log!$D$2:$D$14006,A20)</f>
        <v/>
      </c>
    </row>
    <row r="21">
      <c r="A21" s="2" t="inlineStr">
        <is>
          <t>FERCHAU GmbH Niederlassung Stuttgart Mobility</t>
        </is>
      </c>
      <c r="B21" s="2">
        <f>COUNTIFS(Log!$D$2:$D$14006,A21,Log!$F$2:$F$14006,Zusammenfassung!$B$2)</f>
        <v/>
      </c>
      <c r="C21" s="2">
        <f>COUNTIF(Log!$D$2:$D$14006,A21)</f>
        <v/>
      </c>
    </row>
    <row r="22">
      <c r="A22" s="2" t="inlineStr">
        <is>
          <t>Pflegewerk GmbH</t>
        </is>
      </c>
      <c r="B22" s="2">
        <f>COUNTIFS(Log!$D$2:$D$14006,A22,Log!$F$2:$F$14006,Zusammenfassung!$B$2)</f>
        <v/>
      </c>
      <c r="C22" s="2">
        <f>COUNTIF(Log!$D$2:$D$14006,A22)</f>
        <v/>
      </c>
    </row>
    <row r="23">
      <c r="A23" s="2" t="inlineStr">
        <is>
          <t>tempster GmbH</t>
        </is>
      </c>
      <c r="B23" s="2">
        <f>COUNTIFS(Log!$D$2:$D$14006,A23,Log!$F$2:$F$14006,Zusammenfassung!$B$2)</f>
        <v/>
      </c>
      <c r="C23" s="2">
        <f>COUNTIF(Log!$D$2:$D$14006,A23)</f>
        <v/>
      </c>
    </row>
    <row r="24">
      <c r="A24" s="2" t="inlineStr">
        <is>
          <t>FERCHAU GmbH Niederlassung Heidenheim</t>
        </is>
      </c>
      <c r="B24" s="2">
        <f>COUNTIFS(Log!$D$2:$D$14006,A24,Log!$F$2:$F$14006,Zusammenfassung!$B$2)</f>
        <v/>
      </c>
      <c r="C24" s="2">
        <f>COUNTIF(Log!$D$2:$D$14006,A24)</f>
        <v/>
      </c>
    </row>
    <row r="25">
      <c r="A25" s="2" t="inlineStr">
        <is>
          <t>All-Jobs SHA Personalservice GmbH</t>
        </is>
      </c>
      <c r="B25" s="2">
        <f>COUNTIFS(Log!$D$2:$D$14006,A25,Log!$F$2:$F$14006,Zusammenfassung!$B$2)</f>
        <v/>
      </c>
      <c r="C25" s="2">
        <f>COUNTIF(Log!$D$2:$D$14006,A25)</f>
        <v/>
      </c>
    </row>
    <row r="26">
      <c r="A26" s="2" t="inlineStr">
        <is>
          <t>Career Scout GmbH</t>
        </is>
      </c>
      <c r="B26" s="2">
        <f>COUNTIFS(Log!$D$2:$D$14006,A26,Log!$F$2:$F$14006,Zusammenfassung!$B$2)</f>
        <v/>
      </c>
      <c r="C26" s="2">
        <f>COUNTIF(Log!$D$2:$D$14006,A26)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Aktuell!E2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Aktuell!E3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Aktuell!E4</f>
        <v/>
      </c>
      <c r="C4" s="7" t="n"/>
      <c r="D4" s="8">
        <f>IF(OR(C4="",B4=0),"",ROUND(C4/B4,1))</f>
        <v/>
      </c>
    </row>
    <row r="5">
      <c r="A5" s="2" t="inlineStr">
        <is>
          <t>Helfer/in - Reinigung</t>
        </is>
      </c>
      <c r="B5" s="2">
        <f>Aktuell!E5</f>
        <v/>
      </c>
      <c r="C5" s="7" t="n"/>
      <c r="D5" s="8">
        <f>IF(OR(C5="",B5=0),"",ROUND(C5/B5,1))</f>
        <v/>
      </c>
    </row>
    <row r="6">
      <c r="A6" s="2" t="inlineStr">
        <is>
          <t>Industriemechaniker/in</t>
        </is>
      </c>
      <c r="B6" s="2">
        <f>Aktuell!E6</f>
        <v/>
      </c>
      <c r="C6" s="7" t="n"/>
      <c r="D6" s="8">
        <f>IF(OR(C6="",B6=0),"",ROUND(C6/B6,1))</f>
        <v/>
      </c>
    </row>
    <row r="7">
      <c r="A7" s="2" t="inlineStr">
        <is>
          <t>Berufskraftfahrer/in</t>
        </is>
      </c>
      <c r="B7" s="2">
        <f>Aktuell!E7</f>
        <v/>
      </c>
      <c r="C7" s="7" t="n"/>
      <c r="D7" s="8">
        <f>IF(OR(C7="",B7=0),"",ROUND(C7/B7,1))</f>
        <v/>
      </c>
    </row>
    <row r="8">
      <c r="A8" s="2" t="inlineStr">
        <is>
          <t>Fachkraft - Lagerlogistik</t>
        </is>
      </c>
      <c r="B8" s="2">
        <f>Aktuell!E8</f>
        <v/>
      </c>
      <c r="C8" s="7" t="n"/>
      <c r="D8" s="8">
        <f>IF(OR(C8="",B8=0),"",ROUND(C8/B8,1))</f>
        <v/>
      </c>
    </row>
    <row r="9">
      <c r="A9" s="2" t="inlineStr">
        <is>
          <t>Maschinen- und Anlagenführer/in (ohne Angabe des Schwerpunkts)</t>
        </is>
      </c>
      <c r="B9" s="2">
        <f>Aktuell!E9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Aktuell!E10</f>
        <v/>
      </c>
      <c r="C10" s="7" t="n"/>
      <c r="D10" s="8">
        <f>IF(OR(C10="",B10=0),"",ROUND(C10/B10,1))</f>
        <v/>
      </c>
    </row>
    <row r="11">
      <c r="A11" s="2" t="inlineStr">
        <is>
          <t>Helfer/in - Verkauf</t>
        </is>
      </c>
      <c r="B11" s="2">
        <f>Aktuell!E11</f>
        <v/>
      </c>
      <c r="C11" s="7" t="n"/>
      <c r="D11" s="8">
        <f>IF(OR(C11="",B11=0),"",ROUND(C11/B11,1))</f>
        <v/>
      </c>
    </row>
    <row r="12">
      <c r="A12" s="2" t="inlineStr">
        <is>
          <t>Altenpfleger/in</t>
        </is>
      </c>
      <c r="B12" s="2">
        <f>Aktuell!E12</f>
        <v/>
      </c>
      <c r="C12" s="7" t="n"/>
      <c r="D12" s="8">
        <f>IF(OR(C12="",B12=0),"",ROUND(C12/B12,1))</f>
        <v/>
      </c>
    </row>
    <row r="13">
      <c r="A13" s="2" t="inlineStr">
        <is>
          <t>Erzieher/in</t>
        </is>
      </c>
      <c r="B13" s="2">
        <f>Aktuell!E13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Aktuell!E14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Aktuell!E15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Aktuell!E16</f>
        <v/>
      </c>
      <c r="C16" s="7" t="n"/>
      <c r="D16" s="8">
        <f>IF(OR(C16="",B16=0),"",ROUND(C16/B16,1))</f>
        <v/>
      </c>
    </row>
    <row r="17">
      <c r="A17" s="2" t="inlineStr">
        <is>
          <t>Filialleiter/in, Verkaufsstellenleiter/in</t>
        </is>
      </c>
      <c r="B17" s="2">
        <f>Aktuell!E17</f>
        <v/>
      </c>
      <c r="C17" s="7" t="n"/>
      <c r="D17" s="8">
        <f>IF(OR(C17="",B17=0),"",ROUND(C17/B17,1))</f>
        <v/>
      </c>
    </row>
    <row r="18">
      <c r="A18" s="2" t="inlineStr">
        <is>
          <t>Mechatroniker/in</t>
        </is>
      </c>
      <c r="B18" s="2">
        <f>Aktuell!E18</f>
        <v/>
      </c>
      <c r="C18" s="7" t="n"/>
      <c r="D18" s="8">
        <f>IF(OR(C18="",B18=0),"",ROUND(C18/B18,1))</f>
        <v/>
      </c>
    </row>
    <row r="19">
      <c r="A19" s="2" t="inlineStr">
        <is>
          <t>Gesundheits- und Krankenpfleger/in</t>
        </is>
      </c>
      <c r="B19" s="2">
        <f>Aktuell!E19</f>
        <v/>
      </c>
      <c r="C19" s="7" t="n"/>
      <c r="D19" s="8">
        <f>IF(OR(C19="",B19=0),"",ROUND(C19/B19,1))</f>
        <v/>
      </c>
    </row>
    <row r="20">
      <c r="A20" s="2" t="inlineStr">
        <is>
          <t>Montierer/in</t>
        </is>
      </c>
      <c r="B20" s="2">
        <f>Aktuell!E20</f>
        <v/>
      </c>
      <c r="C20" s="7" t="n"/>
      <c r="D20" s="8">
        <f>IF(OR(C20="",B20=0),"",ROUND(C20/B20,1))</f>
        <v/>
      </c>
    </row>
    <row r="21">
      <c r="A21" s="2" t="inlineStr">
        <is>
          <t>Elektroniker/in - Energie- und Gebäudetechnik</t>
        </is>
      </c>
      <c r="B21" s="2">
        <f>Aktuell!E21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2026-07-06T15:59:16Z</dcterms:created>
  <dcterms:modified xsi:type="dcterms:W3CDTF">2026-07-06T15:59:20Z</dcterms:modified>
</cp:coreProperties>
</file>