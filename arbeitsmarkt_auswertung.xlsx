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0.0%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'Zeitreihe'!$A$2:$A$7</f>
            </numRef>
          </cat>
          <val>
            <numRef>
              <f>'Zeitreihe'!$B$2:$B$7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'Zeitreihe'!$A$2:$A$7</f>
            </numRef>
          </cat>
          <val>
            <numRef>
              <f>'Zeitreihe'!$C$2:$C$7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'Zeitreihe'!$A$2:$A$7</f>
            </numRef>
          </cat>
          <val>
            <numRef>
              <f>'Zeitreihe'!$D$2:$D$7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'Zeitreihe'!$A$2:$A$7</f>
            </numRef>
          </cat>
          <val>
            <numRef>
              <f>'Zeitreihe'!$E$2:$E$7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46214</v>
      </c>
    </row>
    <row r="3">
      <c r="A3" s="3" t="inlineStr">
        <is>
          <t>Erhebungstage</t>
        </is>
      </c>
      <c r="B3" s="2" t="n">
        <v>6</v>
      </c>
    </row>
    <row r="4">
      <c r="A4" s="3" t="inlineStr">
        <is>
          <t>Regionen</t>
        </is>
      </c>
      <c r="B4" s="2" t="inlineStr">
        <is>
          <t>Ostalbkreis, Rems-Murr-Kreis, Waiblingen 30 km, Waiblingen 15 km (alt)</t>
        </is>
      </c>
    </row>
    <row r="5">
      <c r="A5" s="3" t="inlineStr">
        <is>
          <t>Stellen je gesehen (Log)</t>
        </is>
      </c>
      <c r="B5" s="2" t="n">
        <v>17317</v>
      </c>
    </row>
    <row r="6">
      <c r="A6" s="3" t="inlineStr">
        <is>
          <t>Erhebungszeitraum (Wochen)</t>
        </is>
      </c>
      <c r="B6" s="5" t="n">
        <v>0.86</v>
      </c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Standzeit-Blatt: 'Beendete pro Woche in % der offenen Stellen' ist die Umschlaggeschwindigkeit des Bestands. Beispiel: 5 % heisst, der aktuelle Bestand waere rechnerisch in rund 20 Wochen einmal komplett erneuert.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9" customWidth="1" min="5" max="5"/>
    <col width="24" customWidth="1" min="6" max="6"/>
  </cols>
  <sheetData>
    <row r="1">
      <c r="A1" s="6" t="inlineStr">
        <is>
          <t>Datum</t>
        </is>
      </c>
      <c r="B1" s="6" t="inlineStr">
        <is>
          <t>Ostalbkreis</t>
        </is>
      </c>
      <c r="C1" s="6" t="inlineStr">
        <is>
          <t>Rems-Murr-Kreis</t>
        </is>
      </c>
      <c r="D1" s="6" t="inlineStr">
        <is>
          <t>Waiblingen 30 km</t>
        </is>
      </c>
      <c r="E1" s="6" t="inlineStr">
        <is>
          <t>Summe Suchgebiete</t>
        </is>
      </c>
      <c r="F1" s="6" t="inlineStr">
        <is>
          <t>Waiblingen 15 km (alt)</t>
        </is>
      </c>
    </row>
    <row r="2">
      <c r="A2" s="4" t="n">
        <v>46209</v>
      </c>
      <c r="B2" s="7" t="n">
        <v>5522</v>
      </c>
      <c r="C2" s="7" t="n">
        <v>8717</v>
      </c>
      <c r="D2" s="7" t="n">
        <v>20123</v>
      </c>
      <c r="E2" s="7">
        <f>SUM(B2:D2)</f>
        <v/>
      </c>
      <c r="F2" s="7" t="n">
        <v>10373</v>
      </c>
    </row>
    <row r="3">
      <c r="A3" s="4" t="n">
        <v>46210</v>
      </c>
      <c r="B3" s="7" t="n">
        <v>5546</v>
      </c>
      <c r="C3" s="7" t="n">
        <v>8719</v>
      </c>
      <c r="D3" s="7" t="n">
        <v>20096</v>
      </c>
      <c r="E3" s="7">
        <f>SUM(B3:D3)</f>
        <v/>
      </c>
      <c r="F3" s="7" t="n"/>
    </row>
    <row r="4">
      <c r="A4" s="4" t="n">
        <v>46211</v>
      </c>
      <c r="B4" s="7" t="n">
        <v>5543</v>
      </c>
      <c r="C4" s="7" t="n">
        <v>8788</v>
      </c>
      <c r="D4" s="7" t="n">
        <v>20220</v>
      </c>
      <c r="E4" s="7">
        <f>SUM(B4:D4)</f>
        <v/>
      </c>
      <c r="F4" s="7" t="n"/>
    </row>
    <row r="5">
      <c r="A5" s="4" t="n">
        <v>46212</v>
      </c>
      <c r="B5" s="7" t="n">
        <v>5571</v>
      </c>
      <c r="C5" s="7" t="n">
        <v>8810</v>
      </c>
      <c r="D5" s="7" t="n">
        <v>20311</v>
      </c>
      <c r="E5" s="7">
        <f>SUM(B5:D5)</f>
        <v/>
      </c>
      <c r="F5" s="7" t="n"/>
    </row>
    <row r="6">
      <c r="A6" s="4" t="n">
        <v>46213</v>
      </c>
      <c r="B6" s="7" t="n">
        <v>5571</v>
      </c>
      <c r="C6" s="7" t="n">
        <v>8774</v>
      </c>
      <c r="D6" s="7" t="n">
        <v>20115</v>
      </c>
      <c r="E6" s="7">
        <f>SUM(B6:D6)</f>
        <v/>
      </c>
      <c r="F6" s="7" t="n"/>
    </row>
    <row r="7">
      <c r="A7" s="4" t="n">
        <v>46214</v>
      </c>
      <c r="B7" s="7" t="n">
        <v>5548</v>
      </c>
      <c r="C7" s="7" t="n">
        <v>8734</v>
      </c>
      <c r="D7" s="7" t="n">
        <v>20032</v>
      </c>
      <c r="E7" s="7">
        <f>SUM(B7:D7)</f>
        <v/>
      </c>
      <c r="F7" s="7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1" customWidth="1" min="7" max="7"/>
    <col width="27" customWidth="1" min="8" max="8"/>
    <col width="13" customWidth="1" min="9" max="9"/>
    <col width="22" customWidth="1" min="10" max="10"/>
    <col width="33" customWidth="1" min="11" max="11"/>
    <col width="45" customWidth="1" min="12" max="12"/>
    <col width="31" customWidth="1" min="13" max="13"/>
    <col width="26" customWidth="1" min="14" max="14"/>
    <col width="17" customWidth="1" min="15" max="15"/>
    <col width="31" customWidth="1" min="16" max="16"/>
    <col width="18" customWidth="1" min="17" max="17"/>
    <col width="43" customWidth="1" min="18" max="18"/>
    <col width="14" customWidth="1" min="19" max="19"/>
    <col width="17" customWidth="1" min="20" max="20"/>
    <col width="45" customWidth="1" min="21" max="21"/>
  </cols>
  <sheetData>
    <row r="1">
      <c r="A1" s="6" t="inlineStr">
        <is>
          <t>Datum</t>
        </is>
      </c>
      <c r="B1" s="6" t="inlineStr">
        <is>
          <t>Verkäufer/in</t>
        </is>
      </c>
      <c r="C1" s="6" t="inlineStr">
        <is>
          <t>Gabelstaplerfahrer/in</t>
        </is>
      </c>
      <c r="D1" s="6" t="inlineStr">
        <is>
          <t>Helfer/in - Lagerwirtschaft, Transport</t>
        </is>
      </c>
      <c r="E1" s="6" t="inlineStr">
        <is>
          <t>Industriemechaniker/in</t>
        </is>
      </c>
      <c r="F1" s="6" t="inlineStr">
        <is>
          <t>Helfer/in - Reinigung</t>
        </is>
      </c>
      <c r="G1" s="6" t="inlineStr">
        <is>
          <t>Helfer/in - Verkauf</t>
        </is>
      </c>
      <c r="H1" s="6" t="inlineStr">
        <is>
          <t>Fachkraft - Lagerlogistik</t>
        </is>
      </c>
      <c r="I1" s="6" t="inlineStr">
        <is>
          <t>Erzieher/in</t>
        </is>
      </c>
      <c r="J1" s="6" t="inlineStr">
        <is>
          <t>Berufskraftfahrer/in</t>
        </is>
      </c>
      <c r="K1" s="6" t="inlineStr">
        <is>
          <t>Lager- und Transportarbeiter/in</t>
        </is>
      </c>
      <c r="L1" s="6" t="inlineStr">
        <is>
          <t>Maschinen- und Anlagenführer/in (ohne Angabe des Schwerpunkts)</t>
        </is>
      </c>
      <c r="M1" s="6" t="inlineStr">
        <is>
          <t>Helfer/in - Metallbearbeitung</t>
        </is>
      </c>
      <c r="N1" s="6" t="inlineStr">
        <is>
          <t>Zerspanungsmechaniker/in</t>
        </is>
      </c>
      <c r="O1" s="6" t="inlineStr">
        <is>
          <t>Altenpfleger/in</t>
        </is>
      </c>
      <c r="P1" s="6" t="inlineStr">
        <is>
          <t>Ingenieur/in - Elektrotechnik</t>
        </is>
      </c>
      <c r="Q1" s="6" t="inlineStr">
        <is>
          <t>Mechatroniker/in</t>
        </is>
      </c>
      <c r="R1" s="6" t="inlineStr">
        <is>
          <t>Filialleiter/in, Verkaufsstellenleiter/in</t>
        </is>
      </c>
      <c r="S1" s="6" t="inlineStr">
        <is>
          <t>Montierer/in</t>
        </is>
      </c>
      <c r="T1" s="6" t="inlineStr">
        <is>
          <t>Fachlagerist/in</t>
        </is>
      </c>
      <c r="U1" s="6" t="inlineStr">
        <is>
          <t>Elektroniker/in - Energie- und Gebäudetechnik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284</v>
      </c>
      <c r="H2" s="2" t="n">
        <v>302</v>
      </c>
      <c r="I2" s="2" t="n">
        <v>321</v>
      </c>
      <c r="J2" s="2" t="n">
        <v>300</v>
      </c>
      <c r="K2" s="2" t="n">
        <v>289</v>
      </c>
      <c r="L2" s="2" t="n">
        <v>272</v>
      </c>
      <c r="M2" s="2" t="n">
        <v>250</v>
      </c>
      <c r="N2" s="2" t="n">
        <v>226</v>
      </c>
      <c r="O2" s="2" t="n">
        <v>282</v>
      </c>
      <c r="P2" s="2" t="n">
        <v>250</v>
      </c>
      <c r="Q2" s="2" t="n">
        <v>203</v>
      </c>
      <c r="R2" s="2" t="n">
        <v>199</v>
      </c>
      <c r="S2" s="2" t="n">
        <v>195</v>
      </c>
      <c r="T2" s="2" t="n">
        <v>181</v>
      </c>
      <c r="U2" s="2" t="n">
        <v>190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215</v>
      </c>
      <c r="H3" s="2" t="n">
        <v>242</v>
      </c>
      <c r="I3" s="2" t="n">
        <v>199</v>
      </c>
      <c r="J3" s="2" t="n">
        <v>242</v>
      </c>
      <c r="K3" s="2" t="n">
        <v>223</v>
      </c>
      <c r="L3" s="2" t="n">
        <v>225</v>
      </c>
      <c r="M3" s="2" t="n">
        <v>214</v>
      </c>
      <c r="N3" s="2" t="n">
        <v>191</v>
      </c>
      <c r="O3" s="2" t="n">
        <v>203</v>
      </c>
      <c r="P3" s="2" t="n">
        <v>152</v>
      </c>
      <c r="Q3" s="2" t="n">
        <v>160</v>
      </c>
      <c r="R3" s="2" t="n">
        <v>163</v>
      </c>
      <c r="S3" s="2" t="n">
        <v>150</v>
      </c>
      <c r="T3" s="2" t="n">
        <v>140</v>
      </c>
      <c r="U3" s="2" t="n">
        <v>141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212</v>
      </c>
      <c r="H4" s="2" t="n">
        <v>243</v>
      </c>
      <c r="I4" s="2" t="n">
        <v>206</v>
      </c>
      <c r="J4" s="2" t="n">
        <v>241</v>
      </c>
      <c r="K4" s="2" t="n">
        <v>227</v>
      </c>
      <c r="L4" s="2" t="n">
        <v>219</v>
      </c>
      <c r="M4" s="2" t="n">
        <v>208</v>
      </c>
      <c r="N4" s="2" t="n">
        <v>197</v>
      </c>
      <c r="O4" s="2" t="n">
        <v>202</v>
      </c>
      <c r="P4" s="2" t="n">
        <v>160</v>
      </c>
      <c r="Q4" s="2" t="n">
        <v>159</v>
      </c>
      <c r="R4" s="2" t="n">
        <v>161</v>
      </c>
      <c r="S4" s="2" t="n">
        <v>154</v>
      </c>
      <c r="T4" s="2" t="n">
        <v>144</v>
      </c>
      <c r="U4" s="2" t="n">
        <v>139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236</v>
      </c>
      <c r="H5" s="2" t="n">
        <v>240</v>
      </c>
      <c r="I5" s="2" t="n">
        <v>211</v>
      </c>
      <c r="J5" s="2" t="n">
        <v>238</v>
      </c>
      <c r="K5" s="2" t="n">
        <v>229</v>
      </c>
      <c r="L5" s="2" t="n">
        <v>226</v>
      </c>
      <c r="M5" s="2" t="n">
        <v>211</v>
      </c>
      <c r="N5" s="2" t="n">
        <v>198</v>
      </c>
      <c r="O5" s="2" t="n">
        <v>195</v>
      </c>
      <c r="P5" s="2" t="n">
        <v>163</v>
      </c>
      <c r="Q5" s="2" t="n">
        <v>161</v>
      </c>
      <c r="R5" s="2" t="n">
        <v>159</v>
      </c>
      <c r="S5" s="2" t="n">
        <v>153</v>
      </c>
      <c r="T5" s="2" t="n">
        <v>142</v>
      </c>
      <c r="U5" s="2" t="n">
        <v>136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239</v>
      </c>
      <c r="H6" s="2" t="n">
        <v>236</v>
      </c>
      <c r="I6" s="2" t="n">
        <v>228</v>
      </c>
      <c r="J6" s="2" t="n">
        <v>233</v>
      </c>
      <c r="K6" s="2" t="n">
        <v>230</v>
      </c>
      <c r="L6" s="2" t="n">
        <v>221</v>
      </c>
      <c r="M6" s="2" t="n">
        <v>221</v>
      </c>
      <c r="N6" s="2" t="n">
        <v>202</v>
      </c>
      <c r="O6" s="2" t="n">
        <v>196</v>
      </c>
      <c r="P6" s="2" t="n">
        <v>156</v>
      </c>
      <c r="Q6" s="2" t="n">
        <v>157</v>
      </c>
      <c r="R6" s="2" t="n">
        <v>157</v>
      </c>
      <c r="S6" s="2" t="n">
        <v>150</v>
      </c>
      <c r="T6" s="2" t="n">
        <v>143</v>
      </c>
      <c r="U6" s="2" t="n">
        <v>132</v>
      </c>
    </row>
    <row r="7">
      <c r="A7" s="4" t="n">
        <v>46214</v>
      </c>
      <c r="B7" s="2" t="n">
        <v>626</v>
      </c>
      <c r="C7" s="2" t="n">
        <v>406</v>
      </c>
      <c r="D7" s="2" t="n">
        <v>345</v>
      </c>
      <c r="E7" s="2" t="n">
        <v>308</v>
      </c>
      <c r="F7" s="2" t="n">
        <v>279</v>
      </c>
      <c r="G7" s="2" t="n">
        <v>245</v>
      </c>
      <c r="H7" s="2" t="n">
        <v>236</v>
      </c>
      <c r="I7" s="2" t="n">
        <v>234</v>
      </c>
      <c r="J7" s="2" t="n">
        <v>233</v>
      </c>
      <c r="K7" s="2" t="n">
        <v>229</v>
      </c>
      <c r="L7" s="2" t="n">
        <v>221</v>
      </c>
      <c r="M7" s="2" t="n">
        <v>220</v>
      </c>
      <c r="N7" s="2" t="n">
        <v>202</v>
      </c>
      <c r="O7" s="2" t="n">
        <v>188</v>
      </c>
      <c r="P7" s="2" t="n">
        <v>160</v>
      </c>
      <c r="Q7" s="2" t="n">
        <v>157</v>
      </c>
      <c r="R7" s="2" t="n">
        <v>156</v>
      </c>
      <c r="S7" s="2" t="n">
        <v>147</v>
      </c>
      <c r="T7" s="2" t="n">
        <v>143</v>
      </c>
      <c r="U7" s="2" t="n">
        <v>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6" t="inlineStr">
        <is>
          <t>Beruf</t>
        </is>
      </c>
      <c r="B1" s="6" t="inlineStr">
        <is>
          <t>Ostalbkreis</t>
        </is>
      </c>
      <c r="C1" s="6" t="inlineStr">
        <is>
          <t>Rems-Murr-Kreis</t>
        </is>
      </c>
      <c r="D1" s="6" t="inlineStr">
        <is>
          <t>Waiblingen 30 km</t>
        </is>
      </c>
      <c r="E1" s="6" t="inlineStr">
        <is>
          <t>Waiblingen 15 km (alt)</t>
        </is>
      </c>
      <c r="F1" s="6" t="inlineStr">
        <is>
          <t>Gesamt</t>
        </is>
      </c>
      <c r="G1" s="6" t="inlineStr">
        <is>
          <t>Vor 7 Tagen (n/a)</t>
        </is>
      </c>
      <c r="H1" s="6" t="inlineStr">
        <is>
          <t>Vor 30 Tagen (n/a)</t>
        </is>
      </c>
      <c r="I1" s="6" t="inlineStr">
        <is>
          <t>Δ 7 Tage</t>
        </is>
      </c>
      <c r="J1" s="6" t="inlineStr">
        <is>
          <t>Δ 30 Tage</t>
        </is>
      </c>
    </row>
    <row r="2">
      <c r="A2" s="2" t="inlineStr">
        <is>
          <t>Verkäufer/in</t>
        </is>
      </c>
      <c r="B2" s="2" t="n">
        <v>212</v>
      </c>
      <c r="C2" s="2" t="n">
        <v>230</v>
      </c>
      <c r="D2" s="2" t="n">
        <v>184</v>
      </c>
      <c r="E2" s="2" t="n"/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164</v>
      </c>
      <c r="C3" s="2" t="n">
        <v>131</v>
      </c>
      <c r="D3" s="2" t="n">
        <v>111</v>
      </c>
      <c r="E3" s="2" t="n"/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99</v>
      </c>
      <c r="C4" s="2" t="n">
        <v>130</v>
      </c>
      <c r="D4" s="2" t="n">
        <v>116</v>
      </c>
      <c r="E4" s="2" t="n"/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126</v>
      </c>
      <c r="C5" s="2" t="n">
        <v>109</v>
      </c>
      <c r="D5" s="2" t="n">
        <v>73</v>
      </c>
      <c r="E5" s="2" t="n"/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89</v>
      </c>
      <c r="D6" s="2" t="n">
        <v>75</v>
      </c>
      <c r="E6" s="2" t="n"/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Helfer/in - Verkauf</t>
        </is>
      </c>
      <c r="B7" s="2" t="n">
        <v>73</v>
      </c>
      <c r="C7" s="2" t="n">
        <v>87</v>
      </c>
      <c r="D7" s="2" t="n">
        <v>85</v>
      </c>
      <c r="E7" s="2" t="n"/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Fachkraft - Lagerlogistik</t>
        </is>
      </c>
      <c r="B8" s="2" t="n">
        <v>94</v>
      </c>
      <c r="C8" s="2" t="n">
        <v>78</v>
      </c>
      <c r="D8" s="2" t="n">
        <v>64</v>
      </c>
      <c r="E8" s="2" t="n"/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Erzieher/in</t>
        </is>
      </c>
      <c r="B9" s="2" t="n">
        <v>19</v>
      </c>
      <c r="C9" s="2" t="n">
        <v>92</v>
      </c>
      <c r="D9" s="2" t="n">
        <v>123</v>
      </c>
      <c r="E9" s="2" t="n"/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Berufskraftfahrer/in</t>
        </is>
      </c>
      <c r="B10" s="2" t="n">
        <v>100</v>
      </c>
      <c r="C10" s="2" t="n">
        <v>72</v>
      </c>
      <c r="D10" s="2" t="n">
        <v>61</v>
      </c>
      <c r="E10" s="2" t="n"/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Lager- und Transportarbeiter/in</t>
        </is>
      </c>
      <c r="B11" s="2" t="n">
        <v>79</v>
      </c>
      <c r="C11" s="2" t="n">
        <v>84</v>
      </c>
      <c r="D11" s="2" t="n">
        <v>66</v>
      </c>
      <c r="E11" s="2" t="n"/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Maschinen- und Anlagenführer/in (ohne Angabe des Schwerpunkts)</t>
        </is>
      </c>
      <c r="B12" s="2" t="n">
        <v>112</v>
      </c>
      <c r="C12" s="2" t="n">
        <v>62</v>
      </c>
      <c r="D12" s="2" t="n">
        <v>47</v>
      </c>
      <c r="E12" s="2" t="n"/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Helfer/in - Metallbearbeitung</t>
        </is>
      </c>
      <c r="B13" s="2" t="n">
        <v>91</v>
      </c>
      <c r="C13" s="2" t="n">
        <v>76</v>
      </c>
      <c r="D13" s="2" t="n">
        <v>53</v>
      </c>
      <c r="E13" s="2" t="n"/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Zerspanungsmechaniker/in</t>
        </is>
      </c>
      <c r="B14" s="2" t="n">
        <v>115</v>
      </c>
      <c r="C14" s="2" t="n">
        <v>52</v>
      </c>
      <c r="D14" s="2" t="n">
        <v>35</v>
      </c>
      <c r="E14" s="2" t="n"/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Altenpfleger/in</t>
        </is>
      </c>
      <c r="B15" s="2" t="n">
        <v>38</v>
      </c>
      <c r="C15" s="2" t="n">
        <v>84</v>
      </c>
      <c r="D15" s="2" t="n">
        <v>66</v>
      </c>
      <c r="E15" s="2" t="n"/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64</v>
      </c>
      <c r="D16" s="2" t="n">
        <v>79</v>
      </c>
      <c r="E16" s="2" t="n"/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56</v>
      </c>
      <c r="C17" s="2" t="n">
        <v>50</v>
      </c>
      <c r="D17" s="2" t="n">
        <v>51</v>
      </c>
      <c r="E17" s="2" t="n"/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Filialleiter/in, Verkaufsstellenleiter/in</t>
        </is>
      </c>
      <c r="B18" s="2" t="n">
        <v>81</v>
      </c>
      <c r="C18" s="2" t="n">
        <v>44</v>
      </c>
      <c r="D18" s="2" t="n">
        <v>31</v>
      </c>
      <c r="E18" s="2" t="n"/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57</v>
      </c>
      <c r="C19" s="2" t="n">
        <v>51</v>
      </c>
      <c r="D19" s="2" t="n">
        <v>39</v>
      </c>
      <c r="E19" s="2" t="n"/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54</v>
      </c>
      <c r="C20" s="2" t="n">
        <v>45</v>
      </c>
      <c r="D20" s="2" t="n">
        <v>44</v>
      </c>
      <c r="E20" s="2" t="n"/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Elektroniker/in - Energie- und Gebäudetechnik</t>
        </is>
      </c>
      <c r="B21" s="2" t="n">
        <v>36</v>
      </c>
      <c r="C21" s="2" t="n">
        <v>54</v>
      </c>
      <c r="D21" s="2" t="n">
        <v>46</v>
      </c>
      <c r="E21" s="2" t="n"/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Bürokaufmann/-frau</t>
        </is>
      </c>
      <c r="B22" s="2" t="n">
        <v>34</v>
      </c>
      <c r="C22" s="2" t="n">
        <v>48</v>
      </c>
      <c r="D22" s="2" t="n">
        <v>50</v>
      </c>
      <c r="E22" s="2" t="n"/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43</v>
      </c>
      <c r="C23" s="2" t="n">
        <v>47</v>
      </c>
      <c r="D23" s="2" t="n">
        <v>42</v>
      </c>
      <c r="E23" s="2" t="n"/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Anlagenmechaniker/in - Sanitär-, Heizungs- und Klimatechnik</t>
        </is>
      </c>
      <c r="B24" s="2" t="n">
        <v>38</v>
      </c>
      <c r="C24" s="2" t="n">
        <v>42</v>
      </c>
      <c r="D24" s="2" t="n">
        <v>47</v>
      </c>
      <c r="E24" s="2" t="n"/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Koch/Köchin</t>
        </is>
      </c>
      <c r="B25" s="2" t="n">
        <v>42</v>
      </c>
      <c r="C25" s="2" t="n">
        <v>39</v>
      </c>
      <c r="D25" s="2" t="n">
        <v>45</v>
      </c>
      <c r="E25" s="2" t="n"/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Medizinische/r Fachangestellte/r</t>
        </is>
      </c>
      <c r="B26" s="2" t="n">
        <v>39</v>
      </c>
      <c r="C26" s="2" t="n">
        <v>44</v>
      </c>
      <c r="D26" s="2" t="n">
        <v>41</v>
      </c>
      <c r="E26" s="2" t="n"/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Gesundheits- und Krankenpfleger/in</t>
        </is>
      </c>
      <c r="B27" s="2" t="n">
        <v>30</v>
      </c>
      <c r="C27" s="2" t="n">
        <v>45</v>
      </c>
      <c r="D27" s="2" t="n">
        <v>46</v>
      </c>
      <c r="E27" s="2" t="n"/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Maschinen- und Anlagenführer/in - Metall-, Kunststofftechnik</t>
        </is>
      </c>
      <c r="B28" s="2" t="n">
        <v>36</v>
      </c>
      <c r="C28" s="2" t="n">
        <v>48</v>
      </c>
      <c r="D28" s="2" t="n">
        <v>35</v>
      </c>
      <c r="E28" s="2" t="n"/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Helfer/in - Elektro</t>
        </is>
      </c>
      <c r="B29" s="2" t="n">
        <v>22</v>
      </c>
      <c r="C29" s="2" t="n">
        <v>60</v>
      </c>
      <c r="D29" s="2" t="n">
        <v>36</v>
      </c>
      <c r="E29" s="2" t="n"/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18</v>
      </c>
      <c r="C30" s="2" t="n">
        <v>44</v>
      </c>
      <c r="D30" s="2" t="n">
        <v>54</v>
      </c>
      <c r="E30" s="2" t="n"/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22</v>
      </c>
      <c r="D31" s="2" t="n">
        <v>27</v>
      </c>
      <c r="E31" s="2" t="n"/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Kaufmann/-frau - Büromanagement</t>
        </is>
      </c>
      <c r="B32" s="2" t="n">
        <v>25</v>
      </c>
      <c r="C32" s="2" t="n">
        <v>37</v>
      </c>
      <c r="D32" s="2" t="n">
        <v>46</v>
      </c>
      <c r="E32" s="2" t="n"/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CNC-Dreher/in</t>
        </is>
      </c>
      <c r="B33" s="2" t="n">
        <v>30</v>
      </c>
      <c r="C33" s="2" t="n">
        <v>43</v>
      </c>
      <c r="D33" s="2" t="n">
        <v>33</v>
      </c>
      <c r="E33" s="2" t="n"/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Buchhalter/in</t>
        </is>
      </c>
      <c r="B34" s="2" t="n">
        <v>37</v>
      </c>
      <c r="C34" s="2" t="n">
        <v>34</v>
      </c>
      <c r="D34" s="2" t="n">
        <v>34</v>
      </c>
      <c r="E34" s="2" t="n"/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Industriekaufmann/-frau</t>
        </is>
      </c>
      <c r="B35" s="2" t="n">
        <v>32</v>
      </c>
      <c r="C35" s="2" t="n">
        <v>35</v>
      </c>
      <c r="D35" s="2" t="n">
        <v>35</v>
      </c>
      <c r="E35" s="2" t="n"/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Kaufmännische Fachkraft</t>
        </is>
      </c>
      <c r="B36" s="2" t="n">
        <v>31</v>
      </c>
      <c r="C36" s="2" t="n">
        <v>40</v>
      </c>
      <c r="D36" s="2" t="n">
        <v>31</v>
      </c>
      <c r="E36" s="2" t="n"/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>
        <v>32</v>
      </c>
      <c r="E37" s="2" t="n"/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Anlagenmechaniker/in</t>
        </is>
      </c>
      <c r="B38" s="2" t="n">
        <v>29</v>
      </c>
      <c r="C38" s="2" t="n">
        <v>40</v>
      </c>
      <c r="D38" s="2" t="n">
        <v>30</v>
      </c>
      <c r="E38" s="2" t="n"/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Pflegefachmann/-frau (Altenpflege)</t>
        </is>
      </c>
      <c r="B39" s="2" t="n">
        <v>34</v>
      </c>
      <c r="C39" s="2" t="n">
        <v>34</v>
      </c>
      <c r="D39" s="2" t="n">
        <v>30</v>
      </c>
      <c r="E39" s="2" t="n"/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IT-Systemadministrator/in</t>
        </is>
      </c>
      <c r="B40" s="2" t="n">
        <v>12</v>
      </c>
      <c r="C40" s="2" t="n">
        <v>22</v>
      </c>
      <c r="D40" s="2" t="n">
        <v>62</v>
      </c>
      <c r="E40" s="2" t="n"/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Informatiker/in</t>
        </is>
      </c>
      <c r="B41" s="2" t="n">
        <v>17</v>
      </c>
      <c r="C41" s="2" t="n">
        <v>33</v>
      </c>
      <c r="D41" s="2" t="n">
        <v>46</v>
      </c>
      <c r="E41" s="2" t="n"/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6" t="inlineStr">
        <is>
          <t>Refnr</t>
        </is>
      </c>
      <c r="B1" s="6" t="inlineStr">
        <is>
          <t>Region</t>
        </is>
      </c>
      <c r="C1" s="6" t="inlineStr">
        <is>
          <t>Beruf</t>
        </is>
      </c>
      <c r="D1" s="6" t="inlineStr">
        <is>
          <t>Arbeitgeber</t>
        </is>
      </c>
      <c r="E1" s="6" t="inlineStr">
        <is>
          <t>Erstmals gesehen</t>
        </is>
      </c>
      <c r="F1" s="6" t="inlineStr">
        <is>
          <t>Zuletzt gesehen</t>
        </is>
      </c>
      <c r="G1" s="6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46214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46214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46214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46214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46214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46214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46214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46214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46214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46214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46214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46214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46214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46214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46214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46214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46214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46214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46214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46214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46214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46214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46214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46214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46214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46214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46214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46214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46214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46214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46214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46214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46214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46214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46214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46214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46214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46214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46214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46214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46214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46214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46214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46214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46214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46214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46214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46214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46214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46214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46214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46214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46214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46214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46214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46214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46214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46214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46214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46214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46214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46214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46214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46214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46214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46214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46214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46214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46214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46214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46214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46214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46214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46214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46214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46214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46214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46214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46214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46214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46214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46214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46214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46214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46214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46214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46214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46214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46214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46214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46214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46214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46214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46214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46214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46214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46214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46214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46214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46214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46214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46214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46214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46214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46214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46214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46214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46214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46214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46214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46214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46214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46214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46214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46214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46214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46214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46214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46214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46214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46214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46214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46214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46214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46214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46214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46214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46214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46214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46214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46214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46214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46214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46214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46214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46214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46214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46214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46214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46214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46214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46214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46214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46214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46214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46214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46214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46214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46214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46214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46214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46214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46214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46214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46214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46214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46214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46214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46214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46214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46214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46214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46214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46214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46214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46214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46214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46214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46214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46214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46214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46214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46214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46214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46214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46214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46214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46214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46214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46214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46214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46214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46214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46214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46214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46214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46214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46214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46214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46214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46214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46214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46214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46214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46214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46214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46214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46214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46214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46214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46214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46214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46214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46214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46214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46214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46214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46214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46214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46214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46214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46214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46214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46214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46214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46214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46214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46214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46214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46214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46214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46214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46214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46214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46214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46214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46214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46214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46214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46214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46214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46214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46214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46214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46214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46214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46214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46214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46214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46214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46214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46214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46214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46214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46214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46214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46214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46214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46214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46214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46214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46214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46214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46214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46214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46214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46214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46214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46214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46214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46214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46214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46214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46214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46214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46214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46214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46214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46214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46214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46214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46214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46214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46214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46214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46214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46214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46214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46214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46214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46214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46214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46214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46214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46214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46214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46214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46214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46214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46214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46214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46214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46214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46214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46214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46214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46214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46214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46214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46214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46214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46214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46214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46214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46214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46214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46214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46214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46214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46214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46214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46214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46214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46214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46214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46214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46214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46214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46214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46214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46214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46214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46214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46214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46214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46214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46214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46214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46214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46214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46214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46214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46214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46214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46214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46214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46214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46214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46214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46214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46214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46214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46214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46214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46214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46214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46214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46214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46214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46214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46214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46214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46214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46214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46214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46214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46214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46214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46214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46214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46214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46214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46214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46214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46214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46214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46214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46214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46214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46214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46214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46214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46214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46214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46214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46214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46214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46214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46214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46214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46214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46214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46214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46214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46214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46214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46214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46214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46214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46214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46214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46214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46214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46214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46214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46214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46214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46214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46214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46214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46214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46214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46214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46214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46214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46214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46214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46214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46214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46214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46214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46214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46214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46214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46214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46214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46214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46214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46214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46214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46214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46214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46214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46214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46214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46214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46214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46214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46214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46214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46214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46214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46214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46214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46214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46214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46214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46214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46214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46214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46214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46214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46214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46214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46214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46214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46214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46214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46214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46214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46214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46214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46214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46214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46214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46214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46214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46214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46214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46214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46214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46214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46214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46214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46214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46214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46214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46214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46214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46214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46214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46214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46214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46214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46214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46214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46214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46214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46214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46214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46214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46214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46214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46214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46214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46214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46214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46214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46214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46214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46214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46214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46214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46214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46214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46214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46214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46214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46214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46214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46214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46214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46214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46214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46214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46214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46214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46214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46214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46214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46214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46214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46214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46214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46214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46214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46214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46214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46214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46214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46214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46214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46214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46214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46214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46214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46214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46214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46214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46214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46214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46214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46214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46214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46214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46214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46214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46214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46214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46214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46214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46214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46214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46214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46214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46214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46214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46214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46214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46214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46214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46214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46214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46214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46214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46214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46214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46214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46214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46214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46214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46214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46214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46214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46214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46214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46214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46214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46214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46214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46214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46214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46214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46214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46214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46214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46214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46214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46214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46214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46214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46214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46214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46214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46214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46214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46214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46214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46214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46214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46214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46214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46214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46214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46214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46214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46214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46214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46214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46214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46214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46214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46214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46214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46214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46214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46214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46214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46214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46214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46214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46214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46214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46214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46214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46214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46214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46214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46214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46214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46214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46214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46214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46214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46214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46214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46214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46214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46214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46214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46214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46214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46214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46214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46214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46214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46214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46214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46214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46214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46214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46214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46214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46214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46214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46214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46214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46214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46214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46214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46214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46214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46214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46214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46214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46214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46214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46214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46214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46214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46214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46214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46214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46214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46214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46214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46214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46214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46214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46214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46214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46214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46214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46214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46214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46214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46214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46214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46214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46214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46214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46214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46214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46214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46214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46214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46214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46214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46214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46214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46214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46214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46214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46214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46214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46214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46214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46214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46214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46214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46214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46214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46214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46214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46214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46214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46214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46214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46214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46214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46214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46214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46214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46214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46214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46214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46214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46214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46214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46214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46214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46214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46214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46214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46214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46214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46214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46214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46214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46214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46214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46214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46214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46214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46214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46214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46214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46214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46214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46214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46214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46214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46214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46214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46214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46214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46214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46214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46214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46214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46214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46214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46214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46214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46214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46214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46214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46214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46214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46214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46214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46214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46214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46214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46214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46214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46214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46214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46214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46214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46214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46214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46214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46214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46214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46214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46214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46214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46214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46214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46214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46214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46214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46214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46214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46214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46214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46214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46214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46214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46214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46214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46214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46214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46214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46214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46214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46214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46214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46214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46214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46214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46214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46214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46214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46214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46214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46214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46214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46214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46214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46214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46214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46214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46214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46214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46214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46214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46214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46214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46214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46214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46214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46214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46214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46214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46214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46214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46214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46214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46214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46214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46214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46214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46214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46214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46214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46214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46214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46214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46214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46214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46214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46214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46214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46214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46214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46214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46214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46214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46214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46214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46214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46214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46214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46214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46214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46214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46214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46214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46214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46214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46214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46214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46214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46214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46214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46214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46214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46214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46214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46214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46214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46214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46214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46214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46214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46214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46214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46214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46214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46214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46214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46214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46214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46214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46214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46214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46214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46214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46214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46214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46214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46214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46214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46214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46214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46214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46214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46214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46214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46214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46214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46214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46214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46214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46214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46214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46214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46214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46214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46214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46214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46214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46214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46214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46214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46214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46214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46214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46214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46214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46214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46214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46214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46214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46214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46214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46214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46214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46214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46214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46214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46214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46214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46214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46214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46214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46214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46214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46214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46214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46214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46214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46214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46214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46214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46214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46214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46214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46214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46214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46214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46214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46214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46214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46214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46214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46214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46214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46214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46214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46214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46214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46214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46214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46214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46214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46214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46214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46214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46214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46214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46214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46214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46214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46214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46214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46214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46214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46214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46214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46214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46214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46214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46214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46214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46214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46214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46214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46214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46214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46214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46214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46214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46214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46214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46214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46214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46214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46214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46214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46214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46214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46214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46214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46214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46214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46214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46214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46214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46214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46214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46214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46214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46214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46214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46214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46214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46214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46214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46214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46214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46214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46214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46214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46214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46214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46214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46214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46214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46214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46214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46214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46214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46214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46214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46214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46214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46214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46214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46214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46214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46214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46214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46214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46214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46214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46214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46214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46214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46214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46214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46214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46214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46214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46214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46214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46214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46214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46214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46214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46214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46214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46214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46214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46214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46214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46214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46214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46214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46214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46214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46214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46214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46214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46214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46214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46214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46214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46214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46214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46214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46214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46214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46214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46214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46214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46214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46214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46214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46214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46214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46214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46214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46214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46214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46214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46214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46214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46214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46214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46214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46214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46214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46214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46214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46214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46214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46214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46214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46214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46214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46214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46214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46214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46214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46214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46214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46214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46214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46214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46214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46214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46214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46214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46214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46214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46214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46214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46214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46214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46214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46214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46214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46214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46214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46214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46214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46214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46214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46214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46214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46214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46214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46214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46214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46214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46214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46214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46214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46214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46214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46214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46214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46214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46214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46214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46214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46214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46214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46214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46214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46214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46214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46214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46214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46214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46214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46214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46214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46214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46214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46214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46214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46214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46214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46214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46214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46214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46214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46214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46214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46214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46214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46214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46214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46214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46214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46214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46214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46214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46214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46214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46214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46214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46214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46214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46214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46214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46214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46214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46214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46214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46214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46214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46214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46214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46214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46214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46214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46214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46214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46214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46214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46214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46214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46214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46214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46214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46214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46214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46214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46214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46214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46214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46214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46214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46214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46214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46214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46214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46214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46214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46214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46214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46214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46214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46214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46214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46214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46214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46214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46214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46214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46214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46214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46214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46214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46214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46214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46214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46214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46214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46214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46214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46214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46214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46214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46214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46214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46214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46214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46214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46214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46214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46214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46214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46214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46214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46214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46214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46214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46214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46214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46214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46214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46214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46214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46214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46214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46214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46214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46214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46214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46214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46214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46214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46214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46214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46214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46214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46214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46214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46214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46214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46214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46214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46214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46214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46214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46214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46214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46214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46214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46214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46214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46214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46214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46214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46214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46214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46214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46214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46214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46214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46214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46214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46214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46214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46214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46214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46214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46214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46214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46214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46214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46214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46214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46214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46214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46214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46214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46214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46214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46214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46214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46214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46214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46214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46214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46214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46214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46214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46214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46214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46214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46214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46214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46214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46214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46214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46214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46214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46214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46214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46214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46214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46214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46214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46214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46214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46214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46214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46214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46214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46214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46214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46214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46214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46214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46214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46214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46214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46214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46214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46214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46214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46214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46214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46214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46214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46214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46214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46214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46214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46214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46214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46214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46214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46214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46214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46214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46214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46214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46214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46214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46214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46214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46214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46214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46214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46214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46214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46214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46214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46214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46214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46214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46214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46214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46214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46214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46214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46214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46214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46214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46214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46214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46214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46214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46214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46214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46214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46214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46214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46214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46214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46214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46214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46214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46214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46214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46214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46214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46214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46214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46214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46214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46214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46214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46214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46214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46214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46214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46214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46214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46214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46214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46214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46214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46214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46214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46214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46214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46214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46214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46214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46214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46214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46214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46214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46214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46214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46214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46214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46214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46214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46214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46214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46214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46214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46214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46214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46214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46214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46214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46214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46214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46214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46214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46214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46214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46214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46214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46214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46214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46214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46214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46214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46214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46214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46214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46214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46214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46214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46214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46214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46214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46214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46214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46214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46214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46214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46214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46214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46214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46214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46214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46214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46214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46214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46214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46214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46214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46214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46214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46214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46214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46214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46214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46214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46214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46214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46214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46214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46214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46214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46214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46214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46214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46214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46214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46214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46214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46214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46214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46214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46214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46214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46214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46214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46214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46214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46214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46214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46214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46214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46214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46214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46214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46214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46214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46214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46214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46214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46214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46214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46214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46214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46214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46214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46214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46214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46214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46214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46214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46214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46214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46214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46214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46214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46214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46214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46214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46214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46214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46214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46214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46214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46214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46214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46214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46214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46214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46214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46214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46214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46214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46214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46214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46214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46214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46214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46214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46214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46214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46214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46214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46214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46214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46214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46214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46214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46214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46214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46214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46214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46214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46214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46214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46214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46214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46214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46214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46214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46214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46214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46214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46214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46214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46214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46214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46214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46214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46214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46214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46214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46214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46214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46214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46214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46214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46214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46214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46214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46214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46214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46214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46214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46214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46214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46214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46214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46214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46214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46214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46214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46214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46214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46214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46214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46214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46214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46214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46214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46214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46214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46214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46214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46214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46214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46214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46214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46214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46214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46214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46214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46214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46214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46214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46214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46214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46214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46214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46214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46214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46214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46214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46214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46214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46214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46214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46214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46214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46214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46214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46214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46214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46214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46214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46214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46214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46214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46214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46214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46214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46214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46214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46214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46214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46214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46214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46214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46214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46214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46214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46214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46214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46214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46214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46214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46214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46214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46214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46214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46214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46214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46214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46214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46214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46214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46214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46214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46214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46214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46214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46214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46214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46214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46214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46214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46214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46214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46214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46214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46214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46214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46214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46214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46214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46214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46214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46214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46214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46214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46214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46214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46214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46214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46214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46214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46214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46214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46214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46214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46214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46214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46214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46214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46214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46214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46214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46214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46214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46214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46214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46214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46214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46214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46214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46214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46214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46214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46214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46214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46214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46214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46214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46214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46214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46214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46214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46214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46214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46214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46214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46214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46214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46214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46214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46214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46214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46214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46214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46214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46214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46214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46214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46214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46214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46214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46214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46214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46214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46214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46214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46214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46214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46214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46214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46214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46214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46214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46214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46214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46214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46214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46214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46214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46214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46214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46214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46214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46214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46214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46214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46214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46214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46214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46214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46214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46214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46214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46214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46214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46214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46214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46214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46214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46214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46214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46214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46214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46214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46214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46214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46214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46214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46214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46214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46214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46214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46214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46214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46214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46214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46214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46214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46214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46214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46214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46214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46214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46214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46214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46214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46214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46214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46214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46214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46214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46214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46214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46214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46214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46214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46214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46214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46214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46214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46214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46214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46214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46214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46214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46214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46214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46214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46214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46214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46214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46214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46214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46214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46214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46214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46214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46214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46214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46214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46214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46214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46214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46214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46214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46214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46214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46214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46214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46214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46214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46214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46214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46214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46214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46214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46214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46214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46214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46214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46214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46214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46214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46214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46214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46214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46214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46214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46214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46214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46214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46214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46214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46214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46214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46214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46214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46214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46214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46214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46214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46214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46214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46214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46214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46214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46214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46214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46214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46214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46214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46214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46214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46214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46214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46214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46214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46214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46214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46214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46214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46214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46214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46214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46214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46214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46214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46214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46214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46214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46214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46214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46214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46214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46214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46214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46214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46214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46214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46214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46214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46214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46214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46214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46214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46214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46214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46214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46214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46214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46214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46214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46214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46214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46214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46214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46214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46214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46214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46214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46214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46214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46214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46214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46214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46214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46214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46214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46214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46214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46214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46214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46214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46214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46214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46214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46214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46214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46214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46214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46214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46214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46214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46214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46214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46214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46214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46214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46214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46214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46214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46214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46214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46214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46214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46214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46214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46214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46214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46214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46214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46214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46214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46214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46214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46214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46214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46214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46214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46214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46214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46214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46214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46214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46214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46214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46214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46214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46214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46214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46214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46214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46214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46214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46214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46214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46214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46214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46214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46214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46214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46214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46214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46214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46214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46214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46214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46214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46214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46214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46214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46214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46214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46214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46214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46214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46214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46214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46214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46214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46214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46214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46214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46214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46214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46214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46214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46214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46214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46214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46214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46214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46214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46214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46214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46214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46214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46214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46214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46214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46214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46214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46214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46214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46214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46214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46214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46214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46214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46214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46214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46214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46214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46214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46214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46214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46214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46214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46214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46214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46214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46214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46214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46214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46214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46214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46214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46214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46214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46214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46214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46214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46214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46214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46214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46214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46214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46214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46214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46214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46214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46214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46214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46214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46214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46214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46214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46214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46214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46214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46214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46214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46214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46214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46214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46214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46214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46214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46214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46214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46214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46214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46214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46214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46214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46214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46214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46214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46214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46214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46214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46214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46214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46214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46214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46214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46214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46214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46214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46214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46214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46214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46214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46214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46214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46214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46214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46214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46214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46214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46214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46214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46214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46214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46214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46214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46214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46214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46214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46214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46214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46214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46214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46214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46214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46214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46214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46214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46214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46214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46214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46214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46214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46214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46214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46214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46214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46214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46214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46214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46214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46214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46214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46214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46214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46214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46214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46214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46214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46214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46214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46214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46214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46214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46214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46214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46214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46214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46214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46214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46214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46214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46214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46214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46214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46214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46214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46214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46214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46214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46214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46214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46214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46214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46214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46214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46214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46214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46214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46214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46214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46214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46214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46214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46214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46214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46214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46214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46214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46214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46214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46214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46214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46214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46214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46214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46214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46214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46214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46214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46214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46214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46214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46214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46214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46214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46214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46214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46214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46214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46214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46214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46214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46214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46214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46214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46214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46214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46214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46214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46214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46214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46214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46214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46214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46214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46214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46214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46214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46214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46214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46214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46214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46214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46214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46214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46214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46214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46214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46214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46214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46214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46214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46214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46214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46214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46214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46214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46214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46214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46214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46214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46214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46214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46214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46214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46214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46214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46214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46214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46214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46214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46214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46214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46214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46214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46214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46214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46214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46214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46214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46214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46214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46214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46214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46214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46214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46214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46214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46214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46214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46214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46214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46214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46214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46214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46214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46214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46214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46214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46214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46214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46214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46214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46214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46214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46214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46214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46214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46214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46214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46214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46214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46214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46214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46214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46214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46214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46214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46214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46214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46214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46214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46214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46214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46214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46214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46214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46214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46214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46214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46214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46214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46214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46214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46214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46214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46214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46214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46214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46214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46214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46214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46214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46214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46214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46214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46214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46214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46214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46214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46214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46214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46214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46214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46214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46214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46214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46214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46214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46214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46214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46214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46214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46214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46214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46214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46214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46214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46214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46214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46214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46214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46214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46214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46214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46214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46214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46214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46214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46214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46214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46214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46214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46214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46214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46214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46214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46214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46214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46214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46214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46214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46214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46214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46214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46214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46214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46214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46214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46214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46214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46214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46214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46214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46214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46214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46214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46214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46214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46214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46214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46214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46214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46214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46214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46214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46214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46214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46214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46214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46214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46214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46214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46214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46214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46214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46214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46214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46214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46214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46214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46214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46214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46214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46214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46214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46214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46214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46214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46214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46214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46214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46214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46214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46214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46214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46214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46214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46214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46214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46214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46214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46214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46214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46214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46214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46214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46214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46214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46214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46214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46214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46214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46214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46214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46214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46214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46214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46214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46214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46214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46214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46214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46214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46214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46214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46214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46214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46214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46214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46214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46214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46214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46214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46214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46214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46214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46214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46214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46214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46214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46214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46214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46214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46214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46214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46214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46214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46214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46214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46214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46214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46214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46214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46214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46214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46214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46214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46214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46214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46214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46214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46214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46214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46214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46214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46214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46214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46214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46214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46214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46214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46214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46214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46214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46214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46214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46214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46214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46214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46214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46214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46214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46214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46214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46214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46214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46214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46214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46214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46214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46214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46214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46214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46214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46214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46214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46214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46214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46214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46214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46214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46214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46214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46214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46214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46214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46214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46214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46214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46214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46214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46214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46214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46214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46214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46214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46214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46214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46214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46214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46214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46214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46214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46214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46214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46214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46214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46214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46214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46214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46214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46214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46214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46214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46214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46214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46214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46214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46214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46214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46214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46214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46214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46214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46214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46214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46214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46214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46214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46214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46214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46214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46214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46214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46214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46214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46214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46214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46214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46214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46214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46214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46214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46214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46214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46214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46214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46214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46214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46214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46214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46214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46214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46214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46214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46214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46214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46214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46214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46214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46214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46214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46214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46214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46214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46214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46214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46214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46214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46214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46214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46214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46214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46214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46214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46214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46214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46214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46214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46214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46214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46214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46214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46214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46214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46214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46214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46214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46214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46214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46214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46214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46214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46214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46214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46214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46214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46214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46214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46214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46214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46214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46214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46214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46214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46214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46214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46214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46214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46214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46214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46214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46214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46214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46214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46214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46214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46214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46214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46214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46214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46214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46214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46214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46214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46214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46214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46214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46214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46214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46214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46214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46214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46214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46214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46214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46214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46214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46214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46214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46214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46214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46214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46214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46214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46214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46214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46214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46214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46214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46214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46214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46214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46214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46214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46214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46214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46214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46214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46214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46214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46214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46214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46214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46214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46214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46214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46214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46214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46214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46214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46214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46214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46214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46214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46214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46214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46214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46214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46214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46214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46214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46214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46214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46214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46214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46214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46214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46214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46214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46214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46214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46214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46214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46214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46214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46214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46214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46214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46214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46214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46214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46214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46214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46214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46214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46214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46214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46214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46214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46214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46214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46214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46214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46214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46214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46214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46214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46214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46214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46214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46214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46214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46214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46214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46214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46214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46214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46214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46214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46214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46214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46214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46214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46214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46214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46214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46214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46214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46214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46214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46214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46214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46214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46214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46214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46214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46214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46214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46214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46214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46214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46214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46214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46214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46214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46214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46214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46214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46214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46214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46214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46214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46214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46214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46214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46214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46214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46214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46214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46214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46214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46214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46214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46214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46214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46214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46214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46214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46214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46214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46214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46214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46214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46214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46214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46214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46214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46214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46214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46214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46214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46214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46214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46214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46214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46214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46214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46214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46214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46214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46214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46214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46214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46214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46214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46214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46214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46214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46214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46214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46214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46214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46214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46214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46214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46214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46214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46214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46214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46214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46214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46214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46214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46214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46214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46214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46214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46214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46214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46214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46214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46214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46214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46214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46214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46214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46214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46214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46214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46214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46214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46214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46214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46214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46214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46214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46214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46214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46214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46214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46214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46214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46214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46214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46214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46214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46214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46214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46214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46214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46214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46214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46214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46214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46214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46214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46214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46214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46214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46214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46214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46214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46214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46214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46214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46214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46214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46214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46214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46214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46214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46214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46214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46214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46214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46214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46214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46214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46214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46214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46214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46214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46214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46214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46214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46214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46214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46214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46214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46214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46214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46214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46214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46214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46214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46214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46214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46214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46214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46214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46214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46214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46214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46214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46214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46214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46214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46214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46214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46214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46214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46214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46214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46214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46214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46214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46214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46214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46214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46214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46214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46214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46214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46214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46214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46214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46214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46214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46214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46214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46214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46214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46214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46214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46214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46214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46214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46214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46214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46214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46214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46214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46214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46214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46214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46214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46214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46214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46214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46214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46214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46214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46214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46214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46214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46214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46214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46214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46214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46214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46214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46214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46214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46214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46214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46214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46214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46214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46214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46214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46214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46214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46214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46214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46214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46214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46214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46214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46214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46214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46214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46214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46214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46214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46214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46214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46214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46214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46214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46214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46214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46214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46214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46214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46214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46214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46214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46214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46214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46214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46214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46214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46214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46214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46214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46214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46214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46214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46214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46214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46214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46214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46214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46214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46214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46214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46214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46214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46214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46214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46214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46214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46214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46214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46214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46214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46214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46214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46214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46214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46214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46214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46214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46214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46214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46214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46214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46214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46214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46214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46214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46214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46214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46214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46214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46214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46214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46214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46214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46214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46214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46214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46214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46214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46214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46214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46214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46214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46214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46214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46214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46214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46214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46214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46214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46214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46214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46214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46214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46214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46214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46214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46214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46214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46214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46214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46214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46214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46214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46214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46214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46214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46214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46214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46214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46214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46214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46214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46214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46214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46214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46214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46214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46214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46214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46214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46214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46214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46214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46214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46214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46214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46214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46214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46214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46214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46214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46214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46214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46214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46214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46214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46214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46214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46214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46214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46214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46214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46214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46214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46214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46214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46214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46214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46214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46214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46214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46214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46214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46214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46214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46214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46214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46214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46214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46214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46214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46214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46214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46214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46214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46214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46214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46214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46214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46214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46214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46214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46214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46214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46214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46214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46214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46214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46214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46214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46214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46214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46214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46214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46214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46214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46214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46214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46214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46214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46214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46214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46214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46214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46214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46214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46214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46214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46214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46214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46214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46214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46214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46214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46214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46213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46214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46214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46214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46214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46214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46214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46214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46214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46214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46214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46214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46214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46214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46214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46214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46214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46214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46214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46214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46214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46214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46214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46214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46214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46214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46214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46214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46214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46214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46214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46214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46214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46214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46214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46214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46214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46214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46214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46214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46214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46214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46214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46214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46214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46213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46213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46213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46213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46213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46213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46213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46213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46213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46213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46213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46214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46213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46213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46213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46213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46214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46214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46214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46214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46214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46214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46214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46214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46214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46214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46214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46214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46214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46214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46214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46214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46214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46214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46214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46214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46214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46214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46214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46214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46214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46214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46214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46214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46214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46214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46214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46214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46214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46214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46214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46214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46214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46214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46214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46214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46214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46214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46214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46214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46214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46214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46214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46214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46214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46214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46214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46214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46214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46214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46214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46214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46214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46214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46214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46214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46214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46214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46214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46214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46214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46214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46214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46214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46214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46214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46214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46214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46214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46214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46214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46214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46214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46214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46214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46214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46214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46214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46214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46214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46214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46214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46214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46214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46214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46214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46214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46214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46214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46214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46214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46214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46214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46214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46214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46214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46214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46214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46214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46214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46214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46214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46214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46214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46214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46214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46214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46214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46214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46214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46214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46214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46214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46214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46214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46214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46214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46214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46214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46214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46214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46214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46214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46214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46214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46214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46214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46214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46214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46214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46214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46214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46214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46214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46214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46214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46214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46214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46214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46214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46214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46214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46214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46214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46214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46214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46214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46214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46214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46214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46214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46214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46214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46214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46214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46214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46214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46214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46214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46214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46214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46214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46214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46214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46214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46214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46214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46214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46214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46214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46214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46214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46214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46214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46214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46214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46214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46214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46214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46214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46214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46214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46214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46214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46214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46214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46214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46214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46214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46214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46214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46214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46214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46214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46214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46214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46214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46214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46214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46214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46214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46214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46214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46214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46214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46214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46214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46214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46214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46214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46214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46214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46214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46214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46214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46214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46214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46214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46214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46214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46214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46214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46214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46214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46214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46214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46214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46214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46214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46214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46214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46214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46214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46214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46214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46214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46214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46214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46214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46214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46214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46214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46214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46214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46214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46214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46214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46214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46214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46214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46214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46214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46214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46214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46214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46214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46214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46214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46214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46214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46214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46214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46214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46214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46214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46214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46214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46214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46214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46214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46214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46214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46214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46214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46214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46214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46214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46214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46214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46214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46214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46214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46214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46214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46214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46214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46214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46214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46214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46214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46214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46214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46214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46214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46214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46214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46214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46214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46214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46214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46214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46214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46214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46214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46214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46214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46214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46214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46214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46214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46214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46214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46214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46214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46214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46214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46214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46214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46214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46214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46214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46214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46214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46214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46214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46214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46214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46214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46214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46214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46214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46214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46214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46214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46214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46214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46214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46214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46214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46214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46214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46214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46214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46214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46214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46214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46214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46214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46214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46214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46214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46214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46214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46214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46214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46214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46214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46214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46214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46214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46214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46214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46214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46214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46214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46214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46214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46214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46214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46214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46214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46214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46214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46214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46214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46214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46214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46214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46214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46214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46214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46214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46214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46214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46214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46214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46214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46214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46214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46214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46214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46214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46214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46214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46214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46214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46214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46214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46214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46214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46214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46214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46212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46214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46214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46214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46214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46214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46214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46214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46214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46214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46214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46214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46214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46214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46214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46214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46214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46214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46214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46214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46214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46214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46214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46214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46214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46214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46214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46214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46214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46214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46214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46214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46214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46214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46214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46214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46214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46214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46214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46214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46214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46214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46214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46214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46214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46214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46214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46214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46214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46214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46214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46214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46214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46214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46214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46214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46214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46214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46214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46214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46214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46214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46214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46214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46214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46214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46214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46214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46214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46214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46214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46214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46214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46214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46214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46214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46214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46214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46214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46214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46214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46214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46214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46214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46214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46214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46214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46214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46214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46214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46214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46214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46214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46214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46214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46214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46214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46214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46214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46214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46214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46214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46214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46214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46214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46214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46214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46214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46214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46214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46214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46214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46214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46214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46214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46214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46214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46214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46214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46214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46214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46214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46214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46214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46214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46214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46214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46214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46214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46214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46214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46214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46214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46214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46214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46214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46214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46214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46214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46214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46214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46214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46214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46214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46214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46214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46214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46214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46214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46214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46214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46214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46214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46214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46214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46214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46214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46214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46214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46214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46214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46214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46214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46214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46214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46214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46214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46214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46214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46214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46214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46214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46214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46214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46214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46214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46214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46214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46214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46214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46214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46214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46214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46214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46214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46214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46214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46214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46214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46214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46214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46214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46214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46214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46214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46214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46214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46214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46214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46214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46214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46214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46214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46214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46214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46214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46214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46214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46214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46214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46214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46214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46214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46214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46214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46214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46214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46214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46214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46214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46214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46214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46214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46214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46214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46214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46214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46214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46214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46214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46214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46214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46214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46214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46214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46214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46214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46214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46214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46214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46214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46214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46214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46214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46214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46214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46214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46213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46214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46214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46214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46214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46214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46214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46214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46214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46214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46214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46214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46214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46214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46214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46214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46214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46214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46214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46214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46214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46214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46214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46214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46214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46214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46214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46214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46214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46214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46214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46214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46214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46214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46214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46214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46214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46214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46214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46214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46214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46214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46214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46214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46214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46214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46214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46214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46214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46214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46214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46214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46214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46214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46214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46214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46214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46214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46214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46214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46214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46214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46214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46214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46214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46214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46214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46214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46214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46214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46214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46214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46214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46214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46214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46214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46214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46214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46214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46214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46214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46214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46214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46214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46214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46214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46214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46214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46214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46214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46214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46214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46214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46214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46214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46214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46214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46214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46214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46214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46214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46214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46214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46214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46214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46214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46214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46214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46214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46214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46214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46214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46214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46214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46214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46214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46214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46214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46214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46214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46214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46214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46214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46214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46214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46214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46214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46214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46214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46214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46214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46214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46214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46214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46214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46214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46214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46214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46214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46214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46214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46214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46214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46214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46214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46214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46214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46214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46214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46214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46214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46214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46214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46214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46214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46214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46214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46214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46214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46214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46214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46214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46214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46214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46214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46214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46214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46214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46214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46214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46214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46214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46214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46214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46214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46214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46214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46214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46214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46214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46214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46214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46214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46214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46214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46214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46214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46214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46214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46214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46214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46214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46214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46214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46214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46214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46214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46214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46214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46214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46214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46214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46214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46214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46214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46214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46214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46214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46214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46214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46214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46214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46214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46214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46214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46214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46214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46214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46214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46214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46214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46214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46214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46214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46214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46214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46214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46214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46214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46214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46214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46214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46214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46214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46214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46214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46214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46214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46214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46214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46214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46214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46214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46214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46214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46214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46214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46214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46214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46214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46214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46214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46214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46214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46214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46214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46214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46214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46214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46214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46214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46214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46214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46214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46214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46214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46214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46214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46214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46214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46214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46214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46214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46214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46214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46214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46214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46214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46214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46214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46214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46214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46214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46214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46214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46214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46214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46214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46214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46214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46214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46214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46214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46214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46214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46214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46214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46214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46214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46214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46214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46214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46214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46214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46214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46214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46214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46214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46214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46214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46214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46214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46214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46214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46214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46214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46214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46214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46214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46214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46214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46214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46214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46214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46214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46214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46214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46214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46214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46214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46214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46214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46214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46214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46214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46214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46214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46214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46214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46214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46214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46214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46214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46214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46214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46214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46214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46214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46214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46214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46214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46214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46214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46214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46214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46214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46214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46214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46214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46214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46214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46214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46214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46214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46214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46214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46214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46214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46214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46214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46214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46214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46214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46214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46214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46214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46214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46214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46214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46214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46214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46214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46214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46214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46214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46214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46214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46214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46214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46214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46214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46214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46214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46214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46214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46214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46214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46214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46214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46214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46214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46214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46214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46214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46214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46214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46214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46214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46214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46214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46214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46214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46214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46214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46214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46214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46214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46214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46214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46214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46214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46214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46214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46214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46214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46214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46214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46214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46214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46214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46214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46214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46214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46214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46214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46214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46214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46214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46214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46214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46214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46214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46214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46214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46214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46214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46214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46214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46214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46214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46214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46214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46214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46214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46214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46214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46214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46214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46214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46214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46214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46214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46214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46214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46214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46214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46214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46214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46214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46214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46214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46214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46214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46214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46214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46214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46214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46214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46214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46214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46214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46214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46214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46214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46214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46214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46214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46214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46214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46214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46214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46214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46214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46214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46214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46214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46214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46214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46214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46214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46214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46214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46214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46214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46214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46214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46214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46214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46214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46214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46214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46214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46214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46214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46214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46214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46214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46214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46214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46214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46214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46214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46214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46214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46214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46214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46214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46214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46214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46214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46214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46214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46214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46214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46214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46214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46214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46214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46214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46214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46214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46214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46214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46214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46214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46214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46214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46214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46214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46214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46214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46214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46214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46214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46214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46214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46214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46214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46214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46214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46214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46214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46214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46214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46214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46214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46214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46214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46214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46214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46214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46214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46214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46214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46214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46214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46214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46214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46214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46214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46214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46214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46214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46214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46214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46214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46214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46214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46214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46214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46214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46214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46214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46214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46214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46214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46214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46214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46214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46214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46214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46214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46214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46214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46214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46214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46214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46214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46214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46214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46214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46214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46214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46214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46214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46214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46214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46214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46214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46214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46214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46214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46214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46214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46214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46214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46214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46214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46214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46214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46214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46214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46214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46214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46214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46214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46214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46214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46214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46214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46214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46214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46214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46214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46214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46214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46214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46214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46214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46214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46214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46214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46214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46214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46214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46214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46214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46214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46214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46214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46214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46214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46214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46214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46214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46214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46214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46214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46214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46214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46214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46214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46214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46214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46214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46214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46214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46214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46214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46214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46214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46214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46214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46214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46214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46214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46214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46214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46214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46214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46214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46214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46214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46214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46214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46214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46214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46214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46214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46214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46214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46214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46214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46214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46214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46214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46214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46214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46214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46214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46214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46214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46214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46214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46214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46214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46214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46214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46214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46214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46214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46214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46214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46214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46214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46214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46214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46214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46214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46214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46214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46214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46214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46214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46214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46214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46214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46214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46214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46214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46214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46214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46214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46214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46214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46214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46214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46214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46214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46214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46214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46214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46214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46214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46214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46214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46214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46214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46214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46214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46214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46214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46214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46214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46214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46214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46214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46214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46214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46214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46214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46214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46214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46214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46214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46214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46214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46214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46214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46214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46214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46214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46214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46214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46214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46214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46214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46214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46214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46214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46214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46214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46214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46214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46214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46214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46214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46214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46214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46214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46214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46214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46214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46214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46214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46214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46214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46214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46214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46214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46214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46214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46214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46214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46214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46214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46214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46214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46214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46214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46214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46214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46214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46214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46214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46214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46214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46214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46214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46214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46214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46214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46214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46214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46214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46214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46214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46214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46214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46214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46214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46214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46214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46214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46214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46214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46214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46214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46214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46214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46214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46214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46214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46214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46214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46214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46214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46214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46214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46214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46214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46214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46214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46214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46214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46214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46214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46214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46214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46214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46214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46214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46214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46214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46214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46214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46214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46214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46214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46214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46214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46214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46214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46214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46214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46214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46214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46214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46214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46214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46214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46214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46214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46214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46214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46214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46214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46214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46214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46214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46214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46214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46214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46214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46214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46214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46214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46214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46214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46214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46214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46214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46214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46214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46214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46214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46214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46214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46214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46214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46214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46214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46214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46214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46214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46214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46214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46214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46214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46214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46214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46214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46214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46214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46214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46214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46214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46214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46214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46214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46214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46214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46214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46214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46214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46214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46214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46214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46214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46214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46214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46214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46214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46214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46214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46214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46214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46214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46214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46214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46214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46214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46214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46214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46214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46214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46214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46214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46214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46214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46214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46214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46214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46214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46214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46214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46214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46214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46214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46214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46214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46214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46214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46214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46214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46214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46214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46214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46214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46214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46214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46214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46214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46214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46214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46214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46214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46214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46214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46214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46214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46214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46214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46214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46214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46214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46214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46214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46214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46214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46214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46214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46214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46214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46214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46214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46214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46214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46214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46214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46214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46214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46214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46214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46214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46214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46214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46214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46214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46214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46214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46214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46214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46214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46214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46214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46214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46214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46214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46214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46214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46214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46214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46214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46214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46214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46214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46214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46214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46214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46214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46214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46214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46214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46214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46214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46214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46214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46214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46214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46214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46214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46214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46214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46214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46214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46214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46214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46214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46214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46214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46214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46214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46214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46214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46214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46214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46214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46214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46214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46214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46214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46214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46214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46214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46214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46214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46214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46214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46214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46214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46214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46214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46214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46214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46214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46214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46214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46214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46214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46214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46214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46214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46214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46214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46214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46214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46214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46214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46214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46214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46214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46214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46214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46214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46214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46214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46214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46214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46214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46214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46214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46214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46214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46214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46214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46214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46214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46214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46214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46214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46214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46214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46214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46214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46214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46214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46214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46214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46214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46214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46214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46214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46214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46214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46214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46214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46214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46214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46214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46214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46214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46214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46214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46214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46214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46214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46214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46214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46214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46214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46214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46214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46214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46214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46214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46214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46214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46214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46214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46214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46214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46214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46214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46214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46214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46214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46214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46214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46214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46214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46214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46214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46214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46214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46214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46214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46214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46214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46214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46214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46214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46214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46214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46214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46214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46214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46214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46214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46214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46214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46214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46214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46214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46214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46214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46214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46214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46214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46214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46214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46214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46214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46214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46214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46214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46214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46214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46214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46214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46214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46214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46214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46214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46214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46214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46214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46214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46214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46214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46214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46214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46214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46214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46214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46214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46214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46214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46214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46214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46214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46214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46214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46214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46214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46214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46214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46214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46214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46214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46214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46214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46214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46214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46214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46214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46214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46214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46214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46214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46214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46214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46214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46214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46214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46214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46214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46214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46214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46214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46214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46214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46214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46214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46214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46214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46214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46214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46214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46214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46214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46214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46214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46214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46214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46214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46214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46214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46214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46214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46214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46214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46214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46214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46214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46214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46214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46214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46214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46214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46214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46214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46214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46214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46214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46214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46214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46214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46214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46214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46214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46214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46214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46214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46214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46214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46214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46214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46214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46214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46214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46214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46214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46214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46214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46214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46214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46214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46214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46214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46214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46214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46214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46214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46214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46214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46214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46214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46214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46214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46214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46214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46214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46214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46214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46214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46214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46214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46214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46214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46214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46214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46214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46214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46214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46214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46214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46214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46214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46214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46214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46214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46214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46214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46214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46214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46214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46214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46214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46214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46214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46214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46214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46214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46214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46214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46214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46214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46214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46214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46214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46214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46214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46214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46214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46214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46214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46214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46214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46214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46214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46214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46214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46214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46214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46214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46214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46214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46214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46214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46214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46214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46214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46214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46214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46214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46214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46214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46214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46214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46214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46214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46214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46214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46214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46214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46214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46214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46214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46214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46214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46214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46214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46214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46214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46214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46214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46214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46214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46214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46214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46214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46214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46214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46214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46214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46214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46214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46214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46214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46214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46214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46214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46214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46214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46214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46214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46214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46214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46214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46214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46214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46214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46214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46214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46214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46214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46214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46214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46214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46214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46214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46214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46214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46214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46214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46214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46214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46214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46214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46214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46214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46214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46214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46214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46214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46214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46214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46214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46214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46214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46214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46214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46214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46214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46214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46214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46214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46214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46214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46214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46214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46214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46214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46214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46214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46214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46214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46214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46214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46214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46214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46214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46214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46214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46214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46214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46214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46214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46214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46214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46214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46214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46214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46214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46214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46214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46214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46214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46214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46214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46214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46214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46214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46214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46214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46214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46214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46214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46214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46214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46214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46214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46214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46214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46214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46214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46214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46214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46214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46214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46214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46214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46214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46214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46214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46214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46214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46214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46214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46214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46214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46214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46214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46214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46214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46214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46214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46214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46214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46214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46214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46214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46214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46214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46214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46214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46214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46214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46214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46214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46214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46214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46214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46214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46214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46214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46214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46214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46214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46214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46214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46214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46214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46214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46214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46214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46214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46214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46214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46214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46214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46214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46214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46214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46214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46214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46214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46214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46214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46214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46214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46214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46214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46214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46214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46214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46214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46214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46214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46214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46214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46214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46214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46214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46214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46214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46214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46214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46214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46214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46214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46214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46214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46214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46214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46214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46214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46214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46214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46214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46214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46214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46214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46214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46214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46214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46214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46214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46214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46214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46214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46214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46214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46214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46214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46214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46214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46214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46214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46214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46214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46214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46214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46214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46214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46214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46214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46214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46214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46214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46214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46214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46214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46214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46214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46214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46214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46214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46214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46214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46214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46214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46214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46214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46214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46214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46214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46214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46214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46214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46214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46214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46214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46214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46214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46214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46214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46214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46214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46214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46214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46214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46214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46214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46214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46214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46214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46214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46214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46214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46214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46214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46214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46214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46214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46214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46214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46214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46214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46214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46214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46214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46214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46214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46214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46214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46214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46214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46214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46214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46214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46214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46214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46214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46214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46214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46214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46214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46214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46214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46214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46214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46214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46214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46214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46214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46214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46214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46214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46214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46214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46214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46214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46214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46214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46214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46214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46214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46214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46214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46214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46214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46214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46214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46214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46214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46214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46214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46214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46214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46214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46214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46214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46214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46214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46214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46214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46214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46214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46214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46214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46214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46214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46214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46214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46214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46214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46214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46214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46214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46214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46214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46214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46214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46214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46214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46214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46214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46214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46214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46214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46214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46214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46214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46214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46214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46214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46214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46214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46214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46214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46214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46214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46214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46214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46214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46214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46214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46214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46214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46214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46214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46214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46214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46214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46214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46214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46214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46214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46214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46214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46214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46214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46214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46214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46214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46214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46214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46214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46214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46214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46214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46214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46214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46214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46214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46214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46214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46214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46214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46214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46214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46214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46214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46214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46214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46214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46214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46214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46214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46214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46214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46214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46214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46214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46214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46214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46214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46214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46214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46214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46214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46214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46214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46214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46214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46214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46214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46214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46214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46214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46214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46214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46214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46214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46214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46214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46214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46214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46214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46214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46214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46214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46214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46214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46214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46214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46214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46214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46214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46214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46214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46214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46214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46214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46214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46214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46214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46214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46214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46214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46214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46214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46214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46214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46214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46214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46214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46214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46214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46214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46214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46214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46214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46214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46214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46214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46214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46214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46214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46214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46214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46214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46214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46214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46214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46214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46214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46214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46214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46214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46214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46214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46214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46214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46214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46214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46214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46214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46214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46214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46214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46214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46214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46214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46214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46214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46214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46214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46214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46214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46214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46214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46214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46214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46214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46214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46214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46214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46214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46214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46214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46214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46214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46214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46214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46214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46214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46214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46214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46214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46214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46214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46214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46214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46214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46214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46214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46214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46214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46214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46214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46214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46214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46214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46214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46214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46214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46214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46214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46214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46214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46214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46214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46214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46214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46214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46214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46214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46214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46214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46214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46214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46214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46214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46214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46214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46214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46214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46214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46214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46214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46214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46214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46214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46214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46214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46214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46214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46214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46214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46214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46214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46214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46214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46214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46214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46214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46214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46214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46214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46214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46214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46214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46214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46214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46214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46214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46214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46214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46214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46214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46214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46214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46214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46214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46214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46214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46214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46214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46214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46214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46214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46214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46214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46214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46214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46214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46214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46214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46214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46214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46214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46214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46214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46214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46214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46214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46214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46214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46214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46214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46214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46214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46214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46214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46214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46214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46214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46214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46214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46214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46214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46214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46214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46214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46214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46214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46214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46214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46214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46214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46214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46214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46214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46214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46214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46214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46214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46214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46214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46214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46214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46214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46214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46214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46214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46214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46214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46214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46214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46214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46214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46214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46214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46214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46214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46214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46214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46214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46214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46214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46214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46214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46214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46214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46214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46214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46214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46214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46214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46214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46214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46214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46214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46214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46214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46214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46214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46214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46214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46214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46214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46214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46214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46214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46214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46214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46214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46214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46214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46214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46214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46214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46214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46214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46214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46214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46214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46214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46214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46214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46212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46214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46214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46214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46214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46214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46214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46214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46214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46214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46214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46214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46214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46214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46214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46214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46214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46214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46214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46214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46214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46214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46214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46214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46214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46214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46214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46214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46214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46214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46214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46214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46214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46214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46214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46214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46214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46214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46214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46214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46214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46214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46214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46214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46214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46214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46214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46214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46214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46214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46214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46214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46214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46214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46214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46214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46214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46214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46214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46214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46214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46214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46214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46214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46214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46214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46214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46214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46214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46214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46214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46214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46214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46214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46214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46214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46214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46214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46214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46214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46214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46214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46214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46214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46214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46214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46214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46214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46214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46214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46214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46214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46214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46214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46214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46214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46214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46214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46214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46214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46214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46214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46214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46214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46214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46214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46214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46214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46214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46214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46214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46214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46214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46214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46214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46214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46214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46214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46214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46214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46214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46214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46214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46214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46214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46214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46214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46214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46214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46214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46214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46214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46214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46214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46214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46214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46214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46214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46214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46214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46214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46214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46214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46214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46214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46214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46214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46214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46214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46214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46214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46214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46214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46214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46214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46214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46214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46214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46214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46214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46214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46214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46214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46214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46214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46214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46214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46214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46214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46214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46214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46214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46214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46214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46214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46214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46214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46214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46214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46214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46214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46214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46214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46214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46214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46214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46214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46214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46214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46214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46214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46214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46214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46214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46214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46214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46214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46214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46214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46214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46214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46214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46214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46214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46214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46214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46214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46214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46214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46214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46214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46214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46214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46214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46214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46214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46214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46214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46214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46214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46214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46214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46214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46214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46214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46214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46214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46214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46214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46214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46214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46214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46214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46214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46214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46214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46214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46214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46214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46214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46214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46214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46214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46214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46214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46214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46214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46214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46214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46214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46214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46214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46214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46214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46214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46214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46214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46214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46214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46214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46214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46214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46214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46214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46214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46214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46214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46214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46214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46214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46214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46214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46214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46214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46214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46214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46214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46214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46214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46214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46214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46214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46214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46214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46214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46214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46214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46214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46214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46214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46214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46214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46214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46214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46214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46214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46214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46214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46214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46214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46214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46214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46214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46214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46214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46214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46214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46214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46214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46214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46214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46214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46214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46214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46214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46214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46214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46214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46214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46214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46214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46214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46214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46214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46214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46214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46214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46214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46214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46214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46214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46214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46214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46214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46214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46214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46214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46214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46214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46214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46214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46214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46214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46214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46214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46214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46214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46214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46214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46214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46214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46214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46214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46214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46214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46214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46214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46214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46214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46214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46214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46214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46214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46214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46214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46214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46214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46214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46214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46214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46214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46214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46214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46214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46214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46214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46214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46214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46214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46214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46214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46214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46214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46214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46214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46214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46214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46214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46214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46214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46214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46214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46214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46214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46214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46214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46214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46214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46214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46214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46214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46214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46214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46214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46214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46214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46214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46214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46214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46214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46214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46214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46214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46214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46214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46214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46214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46214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46214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46214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46214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46214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46214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46214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46214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46214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46214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46214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46214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46214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46214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46214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46214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46214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46214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46214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46214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46214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46214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46214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46214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46214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46214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46214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46214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46214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46214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46214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46214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46214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46214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46214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46214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46214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46214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46214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46214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46214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46214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46214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46214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46214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46214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46214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46214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46214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46214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46214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46214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46214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46214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46214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46214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46214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46214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46214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46214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46214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46214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46214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46214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46214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46214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46214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46214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46214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46214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46214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46214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46214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46214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46214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46214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46214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46214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46214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46214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46214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46214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46214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46214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46214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46214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46214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46214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46214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46214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46214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46214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46214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46214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46214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46214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46214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46214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46214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46214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46214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46214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46214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46214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46214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46214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46214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46214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46214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46214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46214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46214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46214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46214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46214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46214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46214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46214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46214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46214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46214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46214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46214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46214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46214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46214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46214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46214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46214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46214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46214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46214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46214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46214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46214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46214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46214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46214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46214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46214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46214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46214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46214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46214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46214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46214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46214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46214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46214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46214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46214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46214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46214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46214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46214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46214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46214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46214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46214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46214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46214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46214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46214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46214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46214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46214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46214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46214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46214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46214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46214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46214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46214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46214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46214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46214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46214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46214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46214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46214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46214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46214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46214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46214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46214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46214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46214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46214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46214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46214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46214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46214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46214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46214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46214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46214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46214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46214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46214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46214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46214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46214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46214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46214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46214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46214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46214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46214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46214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46214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46214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46214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46214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46214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46214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46214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46214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46214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46214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46214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46214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46214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46214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46214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46214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46214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46214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46214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46214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46214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46214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46214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46214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46214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46214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46214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46214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46214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46214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46214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46214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46214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46214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46214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46214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46214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46214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46214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46214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46214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46214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46214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46214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46214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46214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46214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46214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46214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46214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46214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46214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46214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46214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46214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46214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46214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46214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46214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46214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46214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46214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46214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46214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46214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46214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46214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46214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46214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46214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46214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46214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46214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46214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46214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46214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46214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46214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46214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46214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46214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46214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46214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46214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46214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46214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46214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46214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46214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46214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46214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46214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46214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46214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46214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46214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46214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46214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46214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46214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46214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46214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46214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46214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46214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46214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46214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46214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46214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46214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46214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46214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46214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46214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46214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46214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46214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46214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46214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46214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46214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46214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46214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46214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46214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46214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46214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46214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46214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46214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46214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46214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46214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46214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46214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46214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46214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46214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46214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46214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46214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46214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46214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46214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46214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46214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46214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46214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46214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46214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46214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46214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46214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46214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46214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46214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46214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46214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46214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46214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46214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46214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46214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46214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46214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46214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46214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46214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46214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46214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46214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46214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46214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46214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46214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46214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46214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46214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46214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46214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46214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46214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46214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46214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46214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46214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46214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46214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46214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46214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46214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46214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46214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46214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46214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46214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46214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46214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46214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46214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46214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46214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46214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46214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46214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46214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46214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46214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46214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46214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46214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46214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46214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46214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46214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46214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46214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46214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46214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46214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46214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46214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46214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46214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46214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46214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46214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46214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46214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46214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46214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46214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46214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46214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46214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46214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46214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46214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46214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46214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46214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46214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46214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46214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46214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46214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46214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46214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46214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46214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46214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46214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46214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46214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46214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46214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46214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46214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46214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46214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46214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46214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46214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46214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46214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46214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46214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46214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46214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46214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46214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46214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46214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46214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46214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46214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46214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46214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46214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46214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46214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46214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46214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46214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46214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46214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46214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46214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46214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46214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46214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46214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46214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46214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46214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46214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46214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46214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46214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46214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46214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46214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46214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46214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46214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46214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46214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46214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46214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46214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46214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46214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46214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46214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46214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46214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46214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46214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46214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46214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46214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46214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46214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46214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46214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46214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46214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46214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46214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46214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46214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46214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46214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46214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46214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46214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46214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46214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46214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46214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46214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46214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46214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46214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46214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46214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46214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46214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46214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46214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46214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46214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46214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46214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46214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46214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46214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46214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46214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46214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46214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46214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46214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46214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46214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46214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46214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46214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46214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46214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46214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46214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46214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46214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46214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46214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46214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46214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46214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46214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46214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46214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46214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46214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46214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46214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46214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46214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46214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46214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46214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46214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46214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46214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46214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46214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46214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46214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46214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46214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46214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46214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46214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46214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46214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46214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46214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46214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46214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46214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46214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46214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46214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46214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46214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46214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46214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46214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46214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46214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46214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46214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46214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46214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46214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46214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46214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46214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46214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46214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46214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46214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46214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46214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46214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46214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46214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46214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46214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46214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46214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46214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46214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46214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46214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46214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46214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46214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46214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46214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46214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46214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46214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46214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46214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46214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46214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46214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46214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46214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46214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46214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46214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46214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46214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46214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46214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46214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46214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46214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46214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46214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46214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46214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46214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46214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46214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46214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46214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46214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46214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46214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46214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46214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46214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46214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46214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46214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46214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46214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46214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46214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46214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46214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46214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46214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46214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46214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46214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46214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46214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46214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46214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46214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46214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46214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46214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46214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46214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46214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46214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46214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46214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46214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46214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46214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46214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46214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46214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46214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46214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46214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46214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46214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46214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46214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46214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46214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46214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46214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46214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46214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46214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46214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46214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46214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46214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46214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46214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46214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46214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46214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46214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46214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46214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46214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46214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46214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46214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46214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46214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46214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46214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46214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46214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46214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46214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46214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46214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46214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46214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46214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46214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46214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46214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46214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46214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46214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46214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46214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46214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46214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46214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46214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46214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46214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46214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46214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46214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46214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46214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46214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46214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46214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46214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46214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46214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46214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46214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46214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46214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46214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46214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46214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46214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46214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46214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46214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46214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46214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46214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46214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46214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46214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46214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46214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46214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46214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46214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46214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46214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46214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46214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46214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46214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46214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46214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46214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46214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46214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46214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46214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46214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46214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46214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46214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46214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46214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46214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46214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46214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46214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46214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46214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46214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46214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46214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46214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46214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46214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46214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46214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46214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46214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46214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46214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46214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46214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46214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46214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46214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46214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46214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46214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46214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46214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46214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46214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46214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46214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46214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46214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46214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46214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46214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46214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46214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46214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46214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46214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46214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46214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46214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46214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46214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46214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46214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46214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46214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46214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46214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46214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46214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46214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46214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46214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46214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46214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46214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46214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46214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46214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46214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46214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46214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46214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46214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46214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46214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46214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46214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46214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46214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46214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46214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46214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46214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46214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46214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46214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46214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46214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46214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46214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46214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46214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46214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46214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46214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46214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46214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46214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46214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46214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46214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46214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46214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46214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46214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46214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46214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46214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46214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46214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46214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46214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46214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46214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46214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46214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46214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46214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46214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46214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46214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46214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46214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46214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46214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46214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46214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46214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46214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46214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46214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46214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46214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46214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46214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46214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46214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46214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46214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46214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46214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46214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46214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46214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46214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46214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46214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46214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46214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46214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46214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46214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46214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46214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46214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46214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46214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46214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46214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46214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46214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46214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46214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46214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46214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46214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46214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46214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46214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46214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46214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46214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46214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46214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46214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46214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46214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46214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46214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46214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46214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46214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46214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46214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46214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46214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46214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46214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46214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46214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46214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46214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46214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46214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46214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46214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46214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46214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46214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46214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46214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46214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46214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46214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46214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46214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46214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46214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46214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46214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46214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46214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46214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46214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46214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46214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46214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46214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46214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46214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46214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46214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46214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46214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46214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46214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46214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46214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46214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46214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46214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46214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46214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46214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46214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46214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46214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46214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46214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46214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46214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46214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46214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46214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46214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46214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46214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46214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46214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46214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46214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46214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46214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46214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46214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46214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46214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46214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46214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46214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46214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46214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46214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46214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46214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46214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46214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46214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46214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46214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46214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46214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46214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46214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46214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46214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46214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46214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46214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46214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46214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46214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46214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46214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46214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46214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46214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46214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46214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46214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46214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46214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46214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46214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46214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46214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46214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46214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46214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46214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46214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46214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46214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46214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46214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46214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46214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46214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46214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46214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46214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46214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46214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46214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46214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46214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46214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46214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46214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46214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46214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46214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46214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46214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46214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46214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46214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46214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46214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46214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46214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46214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46214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46214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46214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46214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46214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46214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46214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46214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46214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46214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46214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46214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46214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46214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46214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46214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46214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46214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46214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46214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46214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46214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46214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46214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46214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46214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46214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46214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46214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46214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46214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46214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46214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46214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46214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46214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46214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46214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46214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46214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46214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46214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46214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46214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46214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46214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46214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46214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46214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46214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46214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46214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46214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46214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46214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46214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46214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46214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46214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46214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46214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46214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46214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46214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46214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46214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46214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46214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46214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46214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46214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46214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46214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46214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46214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46214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46214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46214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46214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46214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46214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46214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46214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46214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46214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46214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46214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46214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46214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46214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46214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46214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46214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46214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46214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46214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46214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46214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46214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46214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46214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46214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46214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46214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46214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46214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46214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46214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46214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46214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46214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46214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46214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46214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46214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46214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46214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46214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46214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46214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46214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46214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46214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46214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46214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46214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46214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46214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46214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46214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46214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46214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46214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46214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46214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46214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46214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46214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46214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46214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46214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46214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46214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46214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46214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46214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46214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46214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46214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46214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46214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46214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46214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46214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46214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46214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46214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46214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46214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46214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46214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46214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46214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46214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46214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46214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46214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46214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46214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46214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46214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46214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46214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46214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46214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46214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46214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46214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46214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46214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46214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46214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46214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46214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46214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46214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46214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46214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46214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46214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46214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46214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46214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46214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46214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46214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46214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46214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46214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46214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46214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46214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46214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46214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46214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46214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46214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46214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46214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46214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46214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46214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46214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46214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46214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46214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46214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46214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46214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46214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46214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46214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46214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46214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46214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46214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46214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46214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46214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46214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46214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46214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46214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46214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46214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46214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46214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46214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46214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46214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46214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46214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46214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46214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46214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46214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46214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46214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46214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46214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46214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46214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46214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46214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46214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46214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46214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46214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46214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46214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46214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46214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46214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46214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46214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46214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46214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46214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46214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46214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46214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46214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46214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46214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46214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46214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46214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46214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46214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46214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46214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46214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46214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46214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46214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46214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46214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46214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46214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46214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46214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46214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46214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46214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46214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46214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46214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46214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46214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46214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46214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46214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46214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46214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46214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46214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46214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46214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46214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46214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46214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46214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46214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46214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46214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46214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46214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46214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46214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46214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46214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46214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46214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46214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46214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46214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46214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46214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46214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46214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46214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46214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46214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46214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46214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46214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46214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46214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46214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46214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46214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46214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46214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46214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46214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46214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46214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46214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46214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46214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46214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46214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46214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46214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46214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46214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46214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46214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46214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46214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46214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46214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46214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46214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46214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46214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46214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46214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46214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46214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46214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46214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46214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46214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46214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46214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46214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46214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46214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46214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46214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46214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46214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46214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46214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46214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46214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46214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46214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46214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46214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46214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46214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46214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46214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46214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46214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46214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46214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46214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46214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46214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46214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46214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46214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46214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46214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46214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46214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46214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46214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46214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46214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46214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46214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46214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46214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46214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46214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46214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46214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46214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46214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46214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46214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46214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46214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46214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46214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46214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46214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46214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46214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46214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46214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46214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46214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46214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46214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46214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46214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46214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46214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46214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46214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46214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46214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46214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46214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46214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46214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46214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46214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46214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46214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46214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46214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46214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46214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46214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46214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46214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46214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46214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46214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46214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46214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46214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46214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46214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46214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46214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46214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46214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46214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46214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46214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46214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46214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46214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46214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46214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46214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46214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46214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46214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46214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46214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46214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46214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46214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46214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46214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46214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46214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46214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46214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46214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46214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46214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46214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46214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46214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46214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46214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46214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46214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46214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46214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46214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46214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46214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46214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46214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46214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46214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46214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46214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46214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46214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46214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46214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46214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46214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46214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46214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46214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46214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46214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46214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46214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46214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46214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46214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46214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46214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46214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46214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46214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46214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46214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46214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46214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46214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46214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46214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46214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46214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46214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46214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46214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46214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46214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46214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46214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46214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46214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46214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46214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46214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46214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46214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46214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46214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46214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46214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46214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46214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46214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46214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46214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46214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46214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46214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46214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46214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46214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46214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46214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46214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46214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46214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46214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46214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46214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46214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46214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46214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46214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46214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46214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46214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46214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46214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46214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46214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46214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46214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46214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46214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46214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46214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46214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46214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46214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46214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46214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46214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46214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46214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46214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46214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46214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46214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46214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46214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46214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46214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46214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46214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46214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46214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46214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46214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46214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46214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46214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46214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46214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46214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46214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46214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46214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46214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46214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46214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46214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46214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46214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46214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46214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46214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46214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46214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46214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46214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46214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46214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46214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46214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46214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46214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46214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46214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46214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46214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46214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46214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46214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46214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46214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46214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46214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46214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46214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46214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46214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46214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46214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46214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46214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46214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46214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46214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46214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46214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46214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46214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46214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46214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46214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46214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46214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46214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46214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46214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46214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46214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46214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46214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46214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46214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46214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46214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46214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46214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46214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46214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46214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46214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46214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46214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46214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46214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46214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46214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46214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46214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46214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46214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46214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46214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46214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46214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46214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46214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46214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46214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46214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46214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46214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46214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46214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46214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46214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46214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46214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46214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46214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46214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46214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46214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46214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46214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46214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46214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46214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46214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46214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46214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46214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46214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46214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46214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46214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46214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46214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46214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46214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46214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46214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46214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46214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46214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46214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46214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46214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46214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46214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46214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46214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46214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46214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46214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46214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46214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46214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46214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46214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46214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46214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46214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46214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46214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46214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46214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46214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46214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46214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46214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46214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46214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46214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46214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46214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46214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46214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46214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46214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46214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46214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46214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46214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46214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46214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46214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46214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46214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46214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46214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46214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46214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46214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46214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46214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46214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46214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46214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46214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46214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46214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46214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46214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46214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46214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46214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46214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46214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46214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46214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46214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46214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46214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46214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46214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46214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46214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46214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46214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46214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46214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46214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46214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46214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46214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46214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46214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46214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46214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46214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46214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46214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46214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46214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46214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46214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46214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46214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46214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46214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46214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46214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46214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46214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46214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46214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46214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46214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46214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46214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46214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46214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46214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46214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46214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46214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46214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46214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46214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46214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46214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46214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46214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46214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46214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46214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46214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46214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46214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46214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46214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46214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46214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46214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46214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46214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46214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46214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46214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46214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46214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46214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46214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46214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46214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46214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46214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46214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46214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46214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46214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46214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46214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46214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46214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46214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46214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46214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46214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46214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46214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46214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46214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46214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46214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46214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46214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46214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46214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46214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46214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46214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46214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46214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46214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46214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46214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46214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46214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46214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46214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46214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46214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46214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46214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46214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46214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46214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46214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46214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46214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46214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46214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46214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46214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46214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46214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46214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46214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46214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46214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46214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46214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46214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46214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46214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46214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46214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46214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46214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46214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46214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46214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46214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46214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46214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46214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46214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46214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46214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46214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46214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46214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46214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46214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46214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46214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46214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46214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46214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46214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46214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46214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46214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46214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46214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46214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46214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46214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46214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46214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46214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46214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46214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46214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46214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46214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46214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46214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46214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46214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46214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46214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46214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46214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46214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46214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46214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46214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46214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46214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46214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46214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46214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46214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46214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46214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46214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46214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46214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46214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46214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46214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46214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46214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46214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46214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46214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46214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46214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46214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46214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46214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46214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46214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46214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46214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46214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46214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46214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46214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46214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46214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46214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46214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46214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46214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46214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46214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46214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46214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46214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46214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46214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46214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46214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46214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46214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46214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46214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46214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46214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46214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46214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46214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46214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46214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46214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46214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46214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46214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46214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46214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46214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46214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46214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46214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46214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46214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46214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46214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46214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46214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46214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46214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46214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46214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46214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46214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46214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46214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46214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46214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46214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46214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46214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46214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46214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46214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46214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46214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46214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46214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46214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46214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46214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46214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46214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46214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46214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46214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46214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46214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46214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46214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46214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46214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46214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46214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46214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46214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46214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46214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46214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46214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46214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46214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46214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46214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46214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46214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46214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46214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46214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46214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46214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46214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46214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46214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46214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46214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46214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46214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46214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46214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46214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46214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46214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46214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46214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46214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46214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46214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46214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46214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46214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46214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46214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46214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46214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46214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46214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46214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46214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46214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46214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46214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46214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46214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46214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46214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46214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46214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46214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46214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46214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46214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46214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46214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46214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46214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46214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46214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46214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46214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46214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46214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46214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46214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46214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46214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46214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46214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46214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46214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46214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46214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46214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46214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46214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46214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46214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46214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46214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46214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46214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46214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46214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46214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46214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46214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46214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46214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46214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46214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46214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46214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46214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46214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46214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46214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46214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46214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46214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46214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46214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46214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46214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46214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46214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46214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46214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46214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46214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46214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46214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46214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46214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46214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46214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46214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46214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46214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46214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46214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46214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46214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46214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46214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46214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46214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46214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46214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46214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46214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46214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46214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46214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46214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46214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46214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46214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46214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46214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46214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46214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46214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46214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46214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46214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46214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46214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46214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46214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46214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46214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46214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46214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46214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46214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46214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46214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46214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46214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46214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46214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46214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46214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46214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46214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46214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46214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46214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46214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46214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46214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46214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46214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46214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46214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46214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46214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46214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46214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46214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46214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46214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46214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46214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46214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46214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46214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46214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46214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46214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46214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46214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46214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46214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46214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46214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46214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46214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46214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46214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46214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46214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46214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46214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46214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46214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46214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46214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46214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46214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46214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46214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46214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46214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46214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46214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46214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46214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46214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46214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46214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46214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46214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46214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46214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46214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46214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46214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46214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46214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46214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46214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46214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46214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46214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46214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46214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46214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46214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46214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46214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46214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46214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46214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46214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46214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46214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46214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46214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46214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46214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46214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46214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46214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46214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46214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46214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46214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46214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46214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46214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46214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46214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46214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46214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46214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46214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46214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46214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46214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46214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46214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46214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46214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46214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46214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46214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46214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46214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46214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46214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46214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46214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46214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46214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46214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46214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46214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46214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46214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46214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46214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46214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46214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46214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46214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46214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46214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46214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46214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46214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46214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46214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46214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46214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46214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46214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46214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46214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46214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46214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46214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46214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46214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46214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46214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46214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46214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46214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46214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46214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46214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46214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46214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46214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46214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46214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46214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46214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46214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46214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46214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46214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46214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46214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46214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46214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46214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46214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46214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46214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46214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46214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46214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46214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46214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46214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46214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46214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46214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46214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46214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46214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46214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46214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46214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46214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46214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46214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46214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46214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46214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46214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46214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46214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46214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46214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46214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46214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46214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46214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46214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46214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46214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46214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46214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46214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46214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46214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46214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46214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46214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46214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46214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46214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46214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46214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46214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46214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46214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46214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46214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46214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46214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46214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46214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46214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46214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46214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46214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46214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46214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46214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46214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46214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46214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46214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46214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46214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46214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46214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46214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46214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46214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46214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46214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46214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46214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46214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46214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46214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46214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46214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46214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46214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46214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46214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46214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46214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46214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46214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46214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46214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46214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46214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46214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46214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46214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46214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46214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46214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46214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46214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46214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46214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46214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46214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46214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46214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46214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46214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46214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46214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46214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46214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46214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46214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46214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46214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46214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46214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46214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46214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46214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46214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46214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46214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46214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46214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46214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46214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46214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46214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46214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46214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46214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46214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46214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46214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46214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46214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46214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46214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46214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46214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46214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46214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46214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46214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46214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46214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46214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46214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46214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46214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46214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46214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46214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46214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46214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46214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46214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46214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46214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46214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46214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46214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46214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46214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46214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46214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46214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46214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46214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46214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46214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46214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46214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46214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46214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46214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46214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46214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46214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46214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46214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46214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46214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46214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46214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46214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46214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46214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46214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46214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46214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46214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46214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46214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46214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46214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46214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46214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46214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46214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46214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46214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46214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46214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46214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46214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46214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46214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46214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46214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46214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46214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46214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46214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46214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46214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46214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46214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46214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46214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46214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46214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46214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46214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46214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46214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46214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46214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46214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46214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46214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46214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46214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46214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46214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46214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46214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46214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46214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46214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46214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46214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46214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46214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46214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46214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46214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46214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46214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46214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46214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46214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46214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46214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46214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46214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46214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46214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46214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46214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46214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46214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46214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46214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46214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46214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46214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46214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46214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46214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46214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46214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46214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46214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46214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46214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46214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46214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46214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46214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46214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46214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46214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46214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46214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46214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46214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46214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46214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46214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46214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46214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46214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46214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46214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46214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46214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46214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46214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46214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46214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46214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46214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46214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46214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46214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46214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46214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46214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46214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46214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46214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46214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46214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46214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46214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46214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46214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46214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46214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46214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46214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46214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46214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46214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46214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46214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46214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46214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46214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46214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46214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46214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46214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46214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46214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46214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46214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46214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46214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46214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46214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46214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46214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46214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46214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46214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46214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46214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46214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46214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46214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46214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46214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46214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46214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46214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46214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46214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46214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46214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46214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46214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46214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46214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46214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46214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46214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46214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46214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46214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46214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46214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46214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46214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46214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46214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46214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46214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46214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46214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46214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46214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46214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46214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46214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46214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46214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46214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46214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46214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46214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46214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46214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46214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46214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46214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46214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46214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46214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46214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46214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46214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46214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46214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46214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46214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46214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46214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46214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46214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46214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46214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46214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46214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46214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46214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46214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46214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46214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46214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46214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46214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46214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46214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46214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46214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46214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46214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46214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46214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46214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46214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46214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46214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46214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46214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46214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46214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46214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46214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46214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46214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46214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46214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46214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46214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46214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46214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46214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46214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46214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46214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46214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46214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46214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46214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46214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46214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46214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46214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46214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46214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46214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46214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46214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46214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46214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46214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46214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46214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46214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46214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46214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46214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46214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46214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46214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46214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46214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46214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46214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46214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46214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46214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46214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46214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46214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46214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46214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46214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46214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46214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46214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46214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46214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46214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46214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46214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46214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46214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46214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46214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46214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46214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46214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46214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46214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46214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46214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46214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46214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46214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46214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46214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46214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46214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46214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46214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46214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46214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46214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46214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46214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46214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46214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46214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46214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46214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46214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46214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46214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46214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46214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46214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46214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46214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46214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46214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46214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46214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46214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46214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46214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46214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46214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46214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46214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46214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46214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46214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46214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46214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46214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46214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46214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46214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46214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46214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46214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46214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46214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46214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46214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46214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46214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46214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46214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46214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46214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46214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46214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46214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46214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46214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46214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46214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46214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46214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46214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46214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46214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46214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46214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46214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46214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46214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46214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46214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46214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46214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46214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46214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46214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46214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46214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46214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46214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46214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46214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46214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46214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46214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46214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46214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46214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46214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46214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46214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46214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46214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46214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46214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46214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46214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46214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46214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46214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46214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46214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46214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46214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46214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46214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46214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46214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46214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46214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46214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46214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46214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46214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46214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46214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46214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46214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46214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46214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46214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46214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46214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46214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46214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46214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46214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46214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46214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46214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46214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46214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46214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46214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46214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46214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46214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46214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46214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46214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46214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46214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46214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46214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46214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46214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46214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46214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46214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46214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46214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46214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46214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46214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46214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46214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46214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46214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46214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46214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46214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46214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46214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46214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46214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46214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46214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46214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46214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46214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46214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46214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46214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46214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46214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46214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46214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46214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46214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46214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46214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46214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46214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46214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46214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46214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46214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46214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46214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46214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46214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46214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46214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46214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46214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46214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46214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46214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46214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46214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46214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46214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46214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46214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46214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46214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46214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46214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46214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46214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46214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46214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46214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46214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46214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46214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46214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46214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46214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46214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46214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46214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46214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46214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46214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46214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46214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46214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46214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46214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46214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46214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46214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46214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46214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46214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46214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46214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46214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46214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46214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46214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46214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46214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46214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46214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46214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46214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46214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46214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46214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46214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46214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46214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46214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46214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46214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46214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46214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46214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46214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46214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46214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46214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46214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46214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46214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46214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46214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46214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46214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46214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46214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46214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46214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46214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46214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46214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46214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46214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46214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46214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46214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46214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46214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46214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46214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46214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46214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46214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46214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46214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46214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46214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46214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46214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46214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46214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46214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46214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46214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46214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46214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46214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46214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46214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46214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46214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46214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46214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46214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46214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46214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46214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46214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46214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46214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46214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46214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46214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46214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46214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46214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46214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46214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46214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46214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46214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46214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46214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46214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46214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46214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46214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46214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46214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46214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46214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46214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46214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46214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46214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46214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46214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46214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46214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46214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46214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46214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46214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46214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46214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46214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46214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46214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46214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46214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46214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46214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46214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46214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46214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46214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46214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46214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46214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46214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46214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46214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46214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46214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46214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46214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46214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46214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46214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46214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46214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46214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46214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46214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46214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46214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46214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46214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46214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46214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46214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46214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46214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46214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46214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46214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46214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46214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46214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46214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46214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46214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46214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46214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46214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46214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46214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46214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46214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46214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46214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46214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46214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46214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46214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46214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46214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46214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46214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46214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46214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46214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46214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46214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46214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46214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46214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46214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46214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46214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46214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46214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46214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46214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46214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46214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46214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46214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46214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46214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46214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46214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46214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46214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46214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46214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46214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46214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46214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46214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46214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46214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46214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46214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46214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46214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46214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46214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46214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46214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46214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46214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46214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46214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46214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46214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46214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46214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46214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46214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46214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46214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46214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46214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46214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46214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46214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46214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46214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46214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46214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46214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46214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46214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46214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46214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46214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46214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46214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46214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46214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46214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46214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46214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46214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46214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46214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46214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46214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46214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46214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46214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46214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46214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46214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46214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46214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46214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46214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46214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46214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46214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46214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46214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46214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46214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46214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46214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46214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46214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46214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46214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46214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46214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46214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46214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46214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46214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46214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46214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46214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46214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46214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46214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46214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46214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46214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46214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46214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46214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46214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46214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46214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46214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46214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46214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46214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46214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46214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46214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46214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46214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46214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46214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46214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46214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46214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46214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46214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46214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46214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46214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46214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46214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46214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46214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46214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46214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46214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46214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46214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46214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46214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46214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46214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46214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46214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46214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46214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46214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46214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46214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46214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46214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46214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46214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46214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46214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46214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46214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46214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46214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46214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46214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46214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46214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46214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46214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46214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46214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46214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46214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46214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46214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46214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46214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46214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46214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46214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46214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46214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46214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46214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46214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46214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46214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46214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46214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46214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46214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46214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46214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46214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46214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46214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46214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46214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46214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46214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46214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46214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46214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46214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46214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46214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46214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46214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46214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46214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46214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46214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46214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46214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46214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46214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46214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46214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46214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46214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46214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46214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46214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46214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46214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46214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46214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46214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46214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46214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46214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46214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46214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46214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46214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46214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46214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46214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46214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46214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46214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46214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46214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46214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46214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46214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46214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46214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46214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46214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46214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46214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46214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46214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46214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46214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46214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46214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46214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46214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46214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46214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46214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46214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46214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46214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46214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46214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46214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46214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46214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46214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46214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46214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46214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46214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46214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46214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46214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46214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46214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46214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46214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46214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46214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46214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46214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46214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46214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46214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46214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46214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46214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46214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46214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46214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46214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46214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46214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46214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46214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46214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46214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46214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46214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46214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46214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46214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46214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46214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46214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46214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46214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46214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46214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46214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46214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46214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46214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46214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46214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46214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46214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46214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46214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46214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46214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46214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46214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46214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46214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46214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46214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46214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46214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46214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46214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46214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46214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46214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46214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46214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46214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46214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46214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46214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46214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46214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46214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46214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46214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46214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46214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46214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46214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46214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46214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46214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46214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46214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46214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46214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46214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46214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46214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46214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46214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46214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46214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46214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46214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46214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46214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46214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46214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46214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46214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46214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46214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46214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46214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46214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46214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46214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46214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46214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46214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46214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46214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46214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46214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46214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46214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46214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46214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46214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46214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46214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46214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46214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46214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46214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46214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46214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46214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46214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46214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46214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46214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46214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46214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46214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46214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46214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46214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46214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46214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46214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46214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46214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46214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46214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46214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46214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46214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46214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46214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46214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46214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46214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46214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46214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46214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46214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46214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46214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46214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46214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46214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46214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46214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46214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46214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46214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46214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46214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46214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46214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46214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46214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46214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46214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46214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46214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46214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46214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46214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46214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46214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46214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46214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46214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46214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46214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46214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46214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46214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46214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46214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46214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46214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46214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46214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46214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46214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46214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46214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46214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46214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46214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46214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46214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46214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46214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46214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46214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46214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46214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46214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46214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46214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46214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46214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46214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46214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46214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46214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46214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46214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46214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46214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46214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46214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46214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46214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46214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46214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46214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46214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46214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46214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46214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46214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46214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46214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46214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46214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46214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46214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46214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46214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46214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46214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46214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46214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46214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46214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46214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46214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46214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46214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46214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46214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46214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46214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46214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46214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46214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46214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46214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46214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46214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46214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46214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46214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46214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46214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46214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46214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46214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46214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46214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46214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46214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46214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46214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46214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46214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46214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46214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46214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46214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46214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46214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46214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46214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46214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46214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46214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46214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46214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46214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46214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46214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46214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46214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46214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46214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46214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46214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46214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46214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46214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46214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46214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46214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46214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46214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46214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46214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46214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46214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46214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46214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46214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46214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46214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46214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46214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46214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46214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46214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46214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46214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46214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46214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46214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46214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46214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46214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46214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46214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46214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46214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46214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46214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46214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46214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46214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46214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46214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46214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46214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46214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46214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46214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46214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46214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46214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46214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46214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46214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46214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46214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46214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46214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46214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46214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46214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46214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46214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46214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46214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46214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46214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46214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46214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46214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46214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46214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46214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46214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46214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46214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46214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46214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46214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46214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46214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46214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46214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46214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46214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46214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46214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46214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46214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46214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46214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46214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46214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46214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46214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46214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46214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46214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46214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46214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46214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46214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46214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46214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46214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46214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46214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46214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46214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46214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46214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46214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46214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46214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46214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46214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46214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46214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46214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46214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46214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46214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46214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46214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46214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46214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46214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46214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46214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46214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46214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46214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46214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46214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46214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46214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46214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46214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46214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46214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46214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46214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46214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46214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46214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46214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46214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46214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46214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46214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46214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46214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46214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46214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46214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46214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46214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46214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46214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46214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46214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46214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46214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46214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46214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46214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46214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46214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46214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46214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46214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46214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46214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46214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46214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46214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46214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46214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46214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46214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46214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46214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46214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46214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46214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46214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46214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46214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46214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46214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46214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46214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46214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46214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46214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46214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46214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46214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46214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46214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46214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46214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46214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46214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46214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46214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46214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46214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46214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46214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46214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46214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46214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46214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46214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46214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46214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46214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46214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46214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46214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46214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46214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46214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46214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46214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46214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46214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46214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46214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46214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46214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46214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46214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46214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46214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46214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46214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46214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46214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46214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46214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46214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46214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46214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46214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46214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46214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46214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46214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46214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46214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46214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46214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46214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46214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46214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46214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46214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46214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46214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46214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46214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46214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46214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46214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46214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46214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46214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46214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46214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46214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46214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46214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46214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46214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46214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46214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46214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46214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46214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46214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46214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46214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46214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46214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46214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46214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46214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46214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46214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46214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46214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46214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46214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46214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46214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46214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46214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46214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46214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46214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46214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46214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46214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46214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46214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46214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46214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46214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46214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46214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46214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46214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46214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46214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46214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46214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46214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46214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46214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46214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46214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46214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46214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46214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46214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46214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46214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46214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46214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46214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46214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46214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46214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46214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46214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46214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46214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46214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46214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46214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46214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46214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46214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46214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46214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46214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46214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46214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46214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46214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46214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46214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46214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46214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46214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46214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46214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46214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46214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46214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46214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46214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46214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46214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46214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46214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46214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46214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46214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46214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46214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46214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46214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46214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46214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46214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46214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46214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46214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46214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46214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46214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46214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46214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46214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46214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46214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46214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46214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46214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46214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46214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46214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46214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46214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46214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46214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46214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46214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46214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46214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46214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46214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46214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46214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46214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46214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46214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46214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46214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46214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46214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46214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46214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46214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46214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46214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46214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46214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46214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46214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46214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46214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46214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46214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46214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46214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46214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46214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46214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46214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46214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46214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46214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46214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46214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46214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46214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46214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46214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46214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46214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46214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46214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46214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46214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46214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46214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46214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46214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46214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46214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46214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46214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46214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46214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46214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46214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46214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46214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46214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46214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46214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46214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46214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46214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46214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46214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46214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46214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46214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46214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46214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46214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46214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46214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46214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46214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46214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46214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46214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46214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46214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46214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46214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46214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46214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46214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46214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46214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46214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46214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46214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46214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46214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46214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46214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46214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46214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46214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46214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46214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46214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46214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46214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46214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46214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46214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46214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46214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46214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46214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46214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46214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46214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46214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46214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46214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46214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46214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46214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46214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46214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46214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46214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46214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46214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46214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46214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46214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46214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46214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46214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46214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46214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46214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46214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46214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46214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46214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46214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46214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46214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46214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46214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46214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46214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46214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46214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46214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46214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46214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46214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46214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46214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46214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46214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46214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46214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46214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46214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46214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46214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46214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46214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46214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46214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46214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46214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46214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46214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46214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46214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46214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46214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46214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46214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46214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46214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46214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46214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46214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46214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46214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46214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46214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46214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46214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46214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46214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46214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46214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46214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46214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46214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46214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46214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46214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46214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46214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46214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46214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46214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46214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46214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46214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46214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46214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46214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46214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46214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46214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46214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46214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46214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46214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46214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46214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46214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46214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46214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46214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46214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46214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46214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46214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46214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46214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46214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46214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46214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46214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46214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46214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46214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46214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46214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46214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46214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46214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46214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46214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46214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46214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46214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46214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46214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46214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46214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46214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46214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46214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46214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46214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46214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46214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46214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46214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46214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46214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46214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46214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46214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46214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46214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46214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46214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46214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46214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46214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46214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46214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46214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46214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46214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46214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46214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46214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46214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46214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46214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46214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46214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46214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46214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46214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46214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46214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46214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46214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46214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46214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46214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46214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46214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46214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46214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46214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46214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46214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46214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46214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46214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46214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46214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46214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46214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46214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46214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46214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46214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46214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46214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46214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46214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46214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46214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46214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46214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46214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46214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46214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46214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46214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46214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46214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46214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46214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46214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46214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46214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46214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46214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46214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46214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46214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46214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46214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46214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46214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46214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46214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46214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46214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46214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46214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46214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46214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46214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46214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46214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46214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46214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46214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46214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46214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46214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46214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46214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46214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46214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46214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46214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46214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46214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46214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46214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46214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46214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46214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46214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46214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46214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46214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46214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46214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46214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46214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46214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46214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46214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46214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46214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46214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46214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46214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46214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46214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46214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46214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46214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46214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46214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46214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46214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46214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46214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46214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46214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46214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46214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46214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46214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46214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46214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46214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46214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46214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46214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46214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46214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46214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46214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46214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46214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46214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46214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46214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46214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46214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46214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46214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46214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46214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46214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46214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46214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46214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46214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46214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46214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46214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46214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46214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46214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46214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46214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46214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46214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46214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46214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46214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46214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46214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46214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46214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46214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46214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46214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46214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46214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46214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46214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46214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46214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46214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46214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46214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46214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46214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46214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46214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46214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46214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46214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46214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46214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46214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46214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46214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46214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46214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46214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46214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46214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46214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46214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46214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46214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46214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46214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46214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46214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46214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46214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46214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46214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46214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46214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46214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46214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46214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46214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46214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46214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46214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46214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46214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46214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46214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46214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46214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46214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46214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46214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46214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46214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46214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46214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46214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46214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46214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46214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46214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46214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46214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46214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46214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46214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46214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46214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46214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46214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46214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46214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46214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46214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46214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46214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46214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46214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46214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46214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46214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46214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46214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46214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46214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46214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46214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46214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46214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46214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46214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46214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46214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46214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46214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46214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46214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46214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46214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46214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46214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46214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46214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46214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46214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46214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46214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46214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46214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46214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46214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46214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46214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46214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46214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46214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46214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46214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46214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46214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46214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46214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46214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46214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46214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46214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46214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46214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46214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46214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46214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46214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46214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46214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46214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46214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46214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46214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46214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46214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46214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46214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46214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46214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46214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46214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46214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46214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46214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46214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46214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46214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46214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46214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46214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46214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46214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46214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46214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46214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46214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46214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46214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46214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46214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46214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46214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46214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46214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46214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46214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46214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46214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46214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46214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46214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46214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46214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46214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46214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46214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46214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46214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46214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46214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46214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46214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46214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46214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46214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46214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46214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46214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46214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46214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46214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46214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46214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46214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46214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46214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46214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46214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46214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46214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46214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46214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46214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46214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46214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46214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46214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46214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46214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46214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46214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46214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46214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46214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46214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46214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46214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46214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46214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46214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46214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46214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46214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46214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46214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46214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46214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46214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46214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46214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46214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46214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46214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46214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46214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46214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46214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46214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46214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46214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46214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46214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46214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46214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46214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46214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46214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46214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46214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46214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46214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46214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46214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46214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46214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46214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46214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46214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46214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46214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46214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46214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46214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46214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46214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46214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46214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46214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46214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46214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46214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46214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46214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46214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46214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46214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46214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46214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46214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46214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46214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46214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46214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46214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46214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46214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46214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46214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46214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46214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46214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46214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46214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46214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46214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46214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46214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46214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46214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46214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46214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46214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46214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46214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46214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46214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46214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46214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46214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46214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46214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46214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46214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46214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46214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46214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46214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46214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46214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46214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46214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46214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46214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46214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46214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46214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46214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46214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46214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46214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46214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46214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46214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46214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46214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46214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46214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46214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46214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46214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46214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46214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46214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46214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46214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46214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46214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46214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46214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46214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46214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46214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46214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46214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46214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46214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46214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46214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46214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46214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46214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46214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46214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46214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46214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46214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46214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46214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46214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46214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46214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46214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46214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46214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46214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46214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46214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46214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46214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46214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46214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46214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46214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46214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46214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46214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46214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46214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46214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46214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46214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46214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46214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46214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46214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46214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46214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46214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46214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46214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46214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46214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46214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46214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46214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46214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46214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46214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46214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46214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46214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46214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46214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46214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46214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46214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46214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46214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46214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46214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46214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46214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46214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46214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46214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46214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46214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46214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46214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46214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46214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46214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46214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46214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46214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46214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46214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46214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46214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46214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46214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46214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46214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46214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46214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46214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46214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46214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46214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46214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46214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46214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46214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46214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46214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46214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46214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46214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46214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46214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46214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46214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46214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46214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46214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46214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46214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46214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46214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46214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46214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46214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46214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46214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46214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46214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46214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46214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46214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46214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46214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46214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46214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46214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46214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46214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46214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46214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46214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46214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46214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46214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46214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46214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46214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46214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46214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46214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46214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46214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46214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46214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46214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46214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46214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46214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46214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46214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46214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46214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46214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46214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46214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46214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46214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46214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46214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46214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46214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46214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46214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46214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46214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46214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46214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46214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46214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46214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46214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46214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46214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46214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46214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46214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46214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46214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46214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46214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46214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46214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46214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46214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46214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46214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46214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46214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46214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46214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46214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46214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46214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46214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46214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46214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46214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46214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46214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46214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46214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46214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46214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46214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46214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46214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46214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46214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46214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46214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46214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46214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46214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46214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46214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46214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46214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46214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46214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46214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46214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46214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46214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46214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46214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46214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46214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46214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46214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46214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46214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46214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46214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46214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46214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46214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46214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46214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46214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46214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46214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46214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46214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46214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46214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46214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46214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46214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46214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46214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46214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46214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46214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46214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46214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46214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46214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46214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46214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46214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46214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46214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46214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46214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46214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46214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46214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46214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46214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46214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46214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46214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46214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46214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46214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46214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46214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46214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46214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46214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46214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46214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46214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46214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46214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46214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46214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46214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46214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46214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46214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46214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46214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46214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46214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46214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46214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46214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46214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46214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46214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46214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46214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46214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46214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46214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46214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46214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46214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46214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46214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46214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46214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46214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46214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46214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46214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46214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46214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46214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46214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46214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46214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46214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46214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46214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46214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46214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46214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46214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46214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46214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46214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46214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46214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46214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46214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46214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46214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46214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46214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46214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46214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46214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46214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46214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46214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46214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46214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46214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46214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46214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46214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46214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46214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46214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46214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46214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46214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46214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46214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46214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46214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46214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46214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46214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46214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46214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46214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46214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46214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46214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46214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46214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46214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46214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46214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46214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46214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46214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46214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46214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46214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46214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46214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46214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46214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46214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46214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46214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46214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46214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46214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46214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46214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46214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46214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46214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46214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46214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46214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46214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46214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46214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46214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46214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46214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46214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46214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46214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46214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46214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46214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46214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46214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46214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46214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46214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46214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46214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46214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46214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46214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46214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46214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46214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46214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46214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46214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46214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46214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46214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46214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46214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46214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46214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46214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46214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46214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46214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46214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46214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46214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46214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46214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46214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46214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46214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46214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46214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46214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46214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46214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46214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46214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46214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46214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46214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46214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46214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46214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46214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46214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46214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46214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46214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46214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46214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46214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46214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46214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46214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46214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46214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46214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46214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46214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46214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46214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46214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46214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46214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46214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46214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46214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46214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46214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46214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46214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46214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46214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46214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46214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46214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46214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46214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46214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46214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46214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46214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46214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46214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46214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46214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46214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46214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46214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46214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46214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46214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46214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46214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46214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46214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46214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46214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46214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46214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46214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46214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46214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46214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46214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46214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46214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46214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46214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46214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46214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46214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46214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46214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46214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46214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46214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46214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46214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46214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46214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46214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46214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46214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46214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46214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46214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46214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46214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46214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46214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46214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46214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46214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46214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46214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46214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46214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46214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46214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46214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46214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46214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46214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46214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46214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46214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46214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46214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46214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46214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46214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46214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46214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46214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46214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46214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46214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46214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46214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46214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46214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46214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46214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46214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46214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46214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46214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46214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46214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46214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46214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46214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46214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46214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46214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46214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46214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46214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46214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46214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46214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46214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46214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46214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46214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46214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46214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46214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46214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46214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46214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46214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46214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46214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46214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46214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46214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46214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46214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46214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46214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46214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46214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46214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46214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46214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46214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46214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46214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46214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46214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46214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46214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46214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46214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46214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46214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46214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46214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46214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46214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46214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46214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46214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46214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46214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46214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46214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46214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46214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46214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46214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46214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46214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46214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46214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46214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46214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46214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46214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46214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46214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46214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46214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46214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46214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46214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46214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46214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46214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46214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46214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46214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46214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46214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46214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46214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46214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46214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46214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46214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46214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46214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46214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46214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46214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46214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46214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46214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46214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46214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46214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46214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46214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46214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46214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46214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46214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46214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46214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46214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46214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46214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46214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46214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46214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46214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46214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46214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46214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46214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46214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46214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46214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46214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46214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46214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46214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46214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46214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46214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46214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46214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46214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46214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46214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46214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46214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46214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46214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46214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46214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46214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46214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46214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46214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46214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46214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46214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46214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46214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46214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46214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46214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46214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46214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46214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46214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46214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46214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46214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46214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46214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46214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46214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46214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46214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46214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46214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46214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46214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46214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46214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46214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46214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46214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46214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46214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46214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46214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46214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46214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46214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46214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46214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46214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46214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46214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46214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46214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46214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46214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46214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46214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46214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46214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46214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46214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46214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46214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46214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46214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46214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46214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46214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46214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46214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46214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46214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46214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46214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46214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46214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46214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46214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46214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46214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46214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46214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46214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46214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46214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46214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46214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46214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46214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46214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46214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46214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46214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46214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46214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46214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46214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46214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46214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46214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46214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46214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46214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46214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46214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46214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46214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46214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46214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46214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46214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46214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46214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46214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46214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46214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46214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46214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46214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46214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46214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46214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46214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46214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46214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46214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46214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46214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46214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46214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46214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46214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46214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46214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46214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46214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46214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46214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46214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46214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46214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46214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46214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46214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46214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46214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46214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46214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46214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46214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46214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46214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46214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46214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46214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46214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46214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46214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46214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46214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46214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46214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46214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46214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46214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46214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46214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46214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46214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46214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46214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46214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46214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46214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46214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46214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46214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46214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46214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46214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46214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46214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46214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46214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46214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46214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46214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46214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46214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46214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46214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46214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46214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46214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46214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46214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46214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46214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46214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46214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46214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46214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46214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46214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46214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46214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46214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46214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46214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46214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46214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46214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46214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46214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46214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46214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46214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46214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46214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46214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46214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46214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46214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46214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46214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46214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46214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46214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46214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46214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46214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46214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46214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46214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46214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46214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46214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46214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46214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46214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46214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46214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46214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46214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46214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46214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46214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46214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46214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46214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46214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46214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46214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46214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46214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46214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46214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46214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46214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46214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46214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46214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46214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46214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46214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46214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46214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46214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46214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46214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46214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46214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46214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46214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46214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46214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46214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46214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46214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46214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46214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46214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46214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46214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46214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46214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46214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46214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46214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46214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46214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46214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46214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46214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46214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46214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46214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46214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46214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46214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46214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46214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46214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46214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46214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46214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46214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46214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46214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46214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46214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46214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46214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46214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46214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46214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46214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46214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46214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46214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46214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46214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46214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46214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46214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46214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46214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46214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46214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46214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46214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46214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46214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46214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46214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46214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46214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46214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46214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46214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46214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46214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46214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46214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46214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46214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46214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46214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46214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46214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46214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46214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46214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46214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46214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46214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46214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46214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46214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46214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46214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46214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46214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46214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46214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46214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46214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46214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46214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46214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46214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46214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46214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46214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46214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46214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46214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46214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46214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46214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46214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46214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46214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46214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46214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46214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46214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46214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46214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46214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46214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46214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46214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46214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46214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46214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46214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46214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46214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46214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46214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46214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46214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46214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46214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46214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46214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46214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46214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46214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46214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46214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46214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46214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46214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46214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46214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46214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46214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46214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46214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46214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46214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46214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46214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46214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46214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46214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46214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46214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46214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46214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46214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46214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46214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46214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46214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46214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46214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46214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46214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46214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46214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46214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46214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46214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46214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46214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46214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46214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46214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46214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46214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46214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46214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46214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46214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46214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46214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46214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46214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46214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46214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46214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46214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46214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46214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46214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46214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46214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46214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46214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46214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46214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46214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46214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46214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46214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46214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46214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46214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46214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46214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46214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46214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46214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46214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46214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46214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46214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46214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46214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46214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46214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46214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46214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46214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46214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46214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46214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46214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46214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46214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46214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46214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46214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46214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46214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46214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46214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46214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46214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46214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46214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46214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46214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46214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46214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46214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46214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46214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46214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46214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46214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46214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46214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46214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46214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46214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46214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46214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46214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46214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46214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46214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46214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46214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46214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46214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46214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46214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46214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46214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46214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46214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46214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46214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46214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46214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46214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46214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46214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46214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46214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46214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46214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46214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46214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46214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46214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46214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46214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46214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46214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46214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46214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46214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46214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46214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46214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46214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46214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46214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46214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46214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46214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46214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46214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46214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46214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46214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46214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46214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46214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46214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46214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46214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46214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46214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46214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46214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46214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46214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46214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46214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46214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46214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46214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46214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46214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46214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46214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46214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46214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46214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46214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46214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46214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46214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46214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46214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46214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46214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46214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46214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46214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46214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46214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46214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46214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46214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46214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46214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46214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46214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46214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46214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46214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46214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46214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46214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46214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46214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46214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46214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46214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46214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46214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46214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46214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46214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46214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46214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46214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46214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46214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46214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46214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46214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46214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46214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46214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46214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46214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46214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46214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46214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46214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46214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46214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46214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46214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46214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46214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46214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46214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46214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46214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46214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46214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46214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46214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46214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46214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46214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46214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46214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46214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46214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46214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46214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46214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46214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46214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46214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46214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46214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46214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46214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46214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46214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46214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46214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46214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46214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46214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46214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46214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46214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46214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46214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46214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46214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46214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46214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46214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46214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46214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46214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46214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46214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46214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46214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46214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46214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46214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46214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46214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46214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46214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46214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46214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46214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46214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46214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46214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46214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46214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46214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46214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46214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46214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46214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46214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46214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46214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46214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46214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46214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46214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46214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46214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46214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46214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46214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46214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46214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46214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46214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46214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46214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46214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46214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46214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46214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46214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46214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46214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46214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46214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46214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46214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46214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46214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46214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46214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46214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46214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46214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46214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46214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46214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46214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46214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46214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46214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46214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46214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46214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46214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46214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46214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46214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46214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46214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46214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46214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46214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46214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46214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46214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46214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46214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46214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46214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46214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46214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46214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46214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46214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46214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46214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46214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46214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46214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46214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46214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46214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46214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46214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46214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46214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46214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46214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46214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46214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46214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46214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46214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46214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46214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46214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46214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46214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46214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46214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46214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46214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46214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46214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46214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46214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46214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46214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46214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46214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46214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46214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46214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46214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46214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46214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46214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46214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46214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46214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46214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46214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46214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46214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46214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46214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46214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46214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46214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46214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46214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46214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46214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46214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46214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46214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46214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46214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46214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46214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46214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46214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46214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46214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46214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46214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46214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46214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46214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46214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46214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46214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46214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46214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46214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46214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46214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46214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46214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46214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46214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46214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46214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46214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46214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46214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46214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46214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46214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46214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46214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46214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46214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46214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46214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46214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46214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46214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46214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46214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46214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46214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46214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46214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46214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46214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46214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46214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46214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46214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46214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46214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46214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46214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46214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46214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46214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46214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46214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46214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46214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46214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46214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46214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46214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46214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46214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46214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46214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46214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46214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46214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46214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46214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46214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46214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46214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46214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46214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46214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46214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46214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46214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46214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46214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46214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46214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46214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46214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46214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46214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46214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46214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46214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46214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46214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46214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46214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46214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46214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46214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46214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46214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46214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46214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46214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46214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46214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46214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46214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46214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46214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46214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46214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46214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46214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46214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46214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46214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46214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46214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46214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46214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46214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46214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46214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46214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46214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46214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46214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46214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46214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46214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46214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46214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46214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46214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46214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46214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46214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46214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46214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46214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46214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46214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46214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46214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46214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46214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46214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46214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46214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46214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46214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46214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46214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46214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46214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46214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46214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46214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46214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46214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46214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46214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46214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46214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46214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46214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46214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46214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46214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46214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46214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46214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46214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46214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46214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46214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46214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46214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46214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46214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46214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46214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46214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46214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46214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46214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46214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46214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46214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46214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46214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46214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46214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46214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46214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46214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46214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46214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46214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46214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46214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46214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46214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46214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46214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46214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46214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46214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46214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46214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46214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46214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46214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46214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46214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46214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46214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46214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46214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46214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46214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46214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46214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46214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46214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46214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46214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46214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46214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46214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46214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46214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46214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46214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46214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46214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46214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46214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46214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46214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46214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46214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46214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46214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46214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46214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46214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46214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46214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46214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46214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46214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46214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46214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46214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46214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46214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46214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46214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46214</v>
      </c>
      <c r="G17304" s="2">
        <f>F17304-E17304+1</f>
        <v/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46214</v>
      </c>
      <c r="G17305" s="2">
        <f>F17305-E17305+1</f>
        <v/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46214</v>
      </c>
      <c r="G17306" s="2">
        <f>F17306-E17306+1</f>
        <v/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46214</v>
      </c>
      <c r="G17307" s="2">
        <f>F17307-E17307+1</f>
        <v/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46214</v>
      </c>
      <c r="G17308" s="2">
        <f>F17308-E17308+1</f>
        <v/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46214</v>
      </c>
      <c r="G17309" s="2">
        <f>F17309-E17309+1</f>
        <v/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>
        <f>F17310-E17310+1</f>
        <v/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46214</v>
      </c>
      <c r="G17311" s="2">
        <f>F17311-E17311+1</f>
        <v/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46214</v>
      </c>
      <c r="G17312" s="2">
        <f>F17312-E17312+1</f>
        <v/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46214</v>
      </c>
      <c r="G17313" s="2">
        <f>F17313-E17313+1</f>
        <v/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46214</v>
      </c>
      <c r="G17314" s="2">
        <f>F17314-E17314+1</f>
        <v/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46214</v>
      </c>
      <c r="G17315" s="2">
        <f>F17315-E17315+1</f>
        <v/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46214</v>
      </c>
      <c r="G17316" s="2">
        <f>F17316-E17316+1</f>
        <v/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46214</v>
      </c>
      <c r="G17317" s="2">
        <f>F17317-E17317+1</f>
        <v/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46214</v>
      </c>
      <c r="G17318" s="2">
        <f>F17318-E17318+1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  <col width="36" customWidth="1" min="6" max="6"/>
    <col width="45" customWidth="1" min="7" max="7"/>
  </cols>
  <sheetData>
    <row r="1">
      <c r="A1" s="6" t="inlineStr">
        <is>
          <t>Beruf</t>
        </is>
      </c>
      <c r="B1" s="6" t="inlineStr">
        <is>
          <t>Stellen im Log</t>
        </is>
      </c>
      <c r="C1" s="6" t="inlineStr">
        <is>
          <t>Aktuell offen</t>
        </is>
      </c>
      <c r="D1" s="6" t="inlineStr">
        <is>
          <t>Beendet</t>
        </is>
      </c>
      <c r="E1" s="6" t="inlineStr">
        <is>
          <t>Ø Standzeit beendeter Stellen (Tage)</t>
        </is>
      </c>
      <c r="F1" s="6" t="inlineStr">
        <is>
          <t>Ø Beendete Stellen pro Woche</t>
        </is>
      </c>
      <c r="G1" s="6" t="inlineStr">
        <is>
          <t>Beendete pro Woche in % der offenen Stellen</t>
        </is>
      </c>
    </row>
    <row r="2">
      <c r="A2" s="2" t="inlineStr">
        <is>
          <t>Verkäufer/in</t>
        </is>
      </c>
      <c r="B2" s="2">
        <f>COUNTIF(Log!$C$2:$C$17318,A2)</f>
        <v/>
      </c>
      <c r="C2" s="2">
        <f>COUNTIFS(Log!$C$2:$C$17318,A2,Log!$F$2:$F$17318,Zusammenfassung!$B$2)</f>
        <v/>
      </c>
      <c r="D2" s="2">
        <f>COUNTIFS(Log!$C$2:$C$17318,A2,Log!$F$2:$F$17318,"&lt;"&amp;Zusammenfassung!$B$2)</f>
        <v/>
      </c>
      <c r="E2" s="2">
        <f>IFERROR(ROUND(AVERAGEIFS(Log!$G$2:$G$17318,Log!$C$2:$C$17318,A2,Log!$F$2:$F$17318,"&lt;"&amp;Zusammenfassung!$B$2),1),"")</f>
        <v/>
      </c>
      <c r="F2" s="5">
        <f>ROUND(D2/Zusammenfassung!$B$6,2)</f>
        <v/>
      </c>
      <c r="G2" s="8">
        <f>IF(C2=0,"",D2/(Zusammenfassung!$B$6*C2))</f>
        <v/>
      </c>
    </row>
    <row r="3">
      <c r="A3" s="2" t="inlineStr">
        <is>
          <t>Gabelstaplerfahrer/in</t>
        </is>
      </c>
      <c r="B3" s="2">
        <f>COUNTIF(Log!$C$2:$C$17318,A3)</f>
        <v/>
      </c>
      <c r="C3" s="2">
        <f>COUNTIFS(Log!$C$2:$C$17318,A3,Log!$F$2:$F$17318,Zusammenfassung!$B$2)</f>
        <v/>
      </c>
      <c r="D3" s="2">
        <f>COUNTIFS(Log!$C$2:$C$17318,A3,Log!$F$2:$F$17318,"&lt;"&amp;Zusammenfassung!$B$2)</f>
        <v/>
      </c>
      <c r="E3" s="2">
        <f>IFERROR(ROUND(AVERAGEIFS(Log!$G$2:$G$17318,Log!$C$2:$C$17318,A3,Log!$F$2:$F$17318,"&lt;"&amp;Zusammenfassung!$B$2),1),"")</f>
        <v/>
      </c>
      <c r="F3" s="5">
        <f>ROUND(D3/Zusammenfassung!$B$6,2)</f>
        <v/>
      </c>
      <c r="G3" s="8">
        <f>IF(C3=0,"",D3/(Zusammenfassung!$B$6*C3))</f>
        <v/>
      </c>
    </row>
    <row r="4">
      <c r="A4" s="2" t="inlineStr">
        <is>
          <t>Helfer/in - Lagerwirtschaft, Transport</t>
        </is>
      </c>
      <c r="B4" s="2">
        <f>COUNTIF(Log!$C$2:$C$17318,A4)</f>
        <v/>
      </c>
      <c r="C4" s="2">
        <f>COUNTIFS(Log!$C$2:$C$17318,A4,Log!$F$2:$F$17318,Zusammenfassung!$B$2)</f>
        <v/>
      </c>
      <c r="D4" s="2">
        <f>COUNTIFS(Log!$C$2:$C$17318,A4,Log!$F$2:$F$17318,"&lt;"&amp;Zusammenfassung!$B$2)</f>
        <v/>
      </c>
      <c r="E4" s="2">
        <f>IFERROR(ROUND(AVERAGEIFS(Log!$G$2:$G$17318,Log!$C$2:$C$17318,A4,Log!$F$2:$F$17318,"&lt;"&amp;Zusammenfassung!$B$2),1),"")</f>
        <v/>
      </c>
      <c r="F4" s="5">
        <f>ROUND(D4/Zusammenfassung!$B$6,2)</f>
        <v/>
      </c>
      <c r="G4" s="8">
        <f>IF(C4=0,"",D4/(Zusammenfassung!$B$6*C4))</f>
        <v/>
      </c>
    </row>
    <row r="5">
      <c r="A5" s="2" t="inlineStr">
        <is>
          <t>Industriemechaniker/in</t>
        </is>
      </c>
      <c r="B5" s="2">
        <f>COUNTIF(Log!$C$2:$C$17318,A5)</f>
        <v/>
      </c>
      <c r="C5" s="2">
        <f>COUNTIFS(Log!$C$2:$C$17318,A5,Log!$F$2:$F$17318,Zusammenfassung!$B$2)</f>
        <v/>
      </c>
      <c r="D5" s="2">
        <f>COUNTIFS(Log!$C$2:$C$17318,A5,Log!$F$2:$F$17318,"&lt;"&amp;Zusammenfassung!$B$2)</f>
        <v/>
      </c>
      <c r="E5" s="2">
        <f>IFERROR(ROUND(AVERAGEIFS(Log!$G$2:$G$17318,Log!$C$2:$C$17318,A5,Log!$F$2:$F$17318,"&lt;"&amp;Zusammenfassung!$B$2),1),"")</f>
        <v/>
      </c>
      <c r="F5" s="5">
        <f>ROUND(D5/Zusammenfassung!$B$6,2)</f>
        <v/>
      </c>
      <c r="G5" s="8">
        <f>IF(C5=0,"",D5/(Zusammenfassung!$B$6*C5))</f>
        <v/>
      </c>
    </row>
    <row r="6">
      <c r="A6" s="2" t="inlineStr">
        <is>
          <t>Helfer/in - Reinigung</t>
        </is>
      </c>
      <c r="B6" s="2">
        <f>COUNTIF(Log!$C$2:$C$17318,A6)</f>
        <v/>
      </c>
      <c r="C6" s="2">
        <f>COUNTIFS(Log!$C$2:$C$17318,A6,Log!$F$2:$F$17318,Zusammenfassung!$B$2)</f>
        <v/>
      </c>
      <c r="D6" s="2">
        <f>COUNTIFS(Log!$C$2:$C$17318,A6,Log!$F$2:$F$17318,"&lt;"&amp;Zusammenfassung!$B$2)</f>
        <v/>
      </c>
      <c r="E6" s="2">
        <f>IFERROR(ROUND(AVERAGEIFS(Log!$G$2:$G$17318,Log!$C$2:$C$17318,A6,Log!$F$2:$F$17318,"&lt;"&amp;Zusammenfassung!$B$2),1),"")</f>
        <v/>
      </c>
      <c r="F6" s="5">
        <f>ROUND(D6/Zusammenfassung!$B$6,2)</f>
        <v/>
      </c>
      <c r="G6" s="8">
        <f>IF(C6=0,"",D6/(Zusammenfassung!$B$6*C6))</f>
        <v/>
      </c>
    </row>
    <row r="7">
      <c r="A7" s="2" t="inlineStr">
        <is>
          <t>Fachkraft - Lagerlogistik</t>
        </is>
      </c>
      <c r="B7" s="2">
        <f>COUNTIF(Log!$C$2:$C$17318,A7)</f>
        <v/>
      </c>
      <c r="C7" s="2">
        <f>COUNTIFS(Log!$C$2:$C$17318,A7,Log!$F$2:$F$17318,Zusammenfassung!$B$2)</f>
        <v/>
      </c>
      <c r="D7" s="2">
        <f>COUNTIFS(Log!$C$2:$C$17318,A7,Log!$F$2:$F$17318,"&lt;"&amp;Zusammenfassung!$B$2)</f>
        <v/>
      </c>
      <c r="E7" s="2">
        <f>IFERROR(ROUND(AVERAGEIFS(Log!$G$2:$G$17318,Log!$C$2:$C$17318,A7,Log!$F$2:$F$17318,"&lt;"&amp;Zusammenfassung!$B$2),1),"")</f>
        <v/>
      </c>
      <c r="F7" s="5">
        <f>ROUND(D7/Zusammenfassung!$B$6,2)</f>
        <v/>
      </c>
      <c r="G7" s="8">
        <f>IF(C7=0,"",D7/(Zusammenfassung!$B$6*C7))</f>
        <v/>
      </c>
    </row>
    <row r="8">
      <c r="A8" s="2" t="inlineStr">
        <is>
          <t>Helfer/in - Verkauf</t>
        </is>
      </c>
      <c r="B8" s="2">
        <f>COUNTIF(Log!$C$2:$C$17318,A8)</f>
        <v/>
      </c>
      <c r="C8" s="2">
        <f>COUNTIFS(Log!$C$2:$C$17318,A8,Log!$F$2:$F$17318,Zusammenfassung!$B$2)</f>
        <v/>
      </c>
      <c r="D8" s="2">
        <f>COUNTIFS(Log!$C$2:$C$17318,A8,Log!$F$2:$F$17318,"&lt;"&amp;Zusammenfassung!$B$2)</f>
        <v/>
      </c>
      <c r="E8" s="2">
        <f>IFERROR(ROUND(AVERAGEIFS(Log!$G$2:$G$17318,Log!$C$2:$C$17318,A8,Log!$F$2:$F$17318,"&lt;"&amp;Zusammenfassung!$B$2),1),"")</f>
        <v/>
      </c>
      <c r="F8" s="5">
        <f>ROUND(D8/Zusammenfassung!$B$6,2)</f>
        <v/>
      </c>
      <c r="G8" s="8">
        <f>IF(C8=0,"",D8/(Zusammenfassung!$B$6*C8))</f>
        <v/>
      </c>
    </row>
    <row r="9">
      <c r="A9" s="2" t="inlineStr">
        <is>
          <t>Erzieher/in</t>
        </is>
      </c>
      <c r="B9" s="2">
        <f>COUNTIF(Log!$C$2:$C$17318,A9)</f>
        <v/>
      </c>
      <c r="C9" s="2">
        <f>COUNTIFS(Log!$C$2:$C$17318,A9,Log!$F$2:$F$17318,Zusammenfassung!$B$2)</f>
        <v/>
      </c>
      <c r="D9" s="2">
        <f>COUNTIFS(Log!$C$2:$C$17318,A9,Log!$F$2:$F$17318,"&lt;"&amp;Zusammenfassung!$B$2)</f>
        <v/>
      </c>
      <c r="E9" s="2">
        <f>IFERROR(ROUND(AVERAGEIFS(Log!$G$2:$G$17318,Log!$C$2:$C$17318,A9,Log!$F$2:$F$17318,"&lt;"&amp;Zusammenfassung!$B$2),1),"")</f>
        <v/>
      </c>
      <c r="F9" s="5">
        <f>ROUND(D9/Zusammenfassung!$B$6,2)</f>
        <v/>
      </c>
      <c r="G9" s="8">
        <f>IF(C9=0,"",D9/(Zusammenfassung!$B$6*C9))</f>
        <v/>
      </c>
    </row>
    <row r="10">
      <c r="A10" s="2" t="inlineStr">
        <is>
          <t>Berufskraftfahrer/in</t>
        </is>
      </c>
      <c r="B10" s="2">
        <f>COUNTIF(Log!$C$2:$C$17318,A10)</f>
        <v/>
      </c>
      <c r="C10" s="2">
        <f>COUNTIFS(Log!$C$2:$C$17318,A10,Log!$F$2:$F$17318,Zusammenfassung!$B$2)</f>
        <v/>
      </c>
      <c r="D10" s="2">
        <f>COUNTIFS(Log!$C$2:$C$17318,A10,Log!$F$2:$F$17318,"&lt;"&amp;Zusammenfassung!$B$2)</f>
        <v/>
      </c>
      <c r="E10" s="2">
        <f>IFERROR(ROUND(AVERAGEIFS(Log!$G$2:$G$17318,Log!$C$2:$C$17318,A10,Log!$F$2:$F$17318,"&lt;"&amp;Zusammenfassung!$B$2),1),"")</f>
        <v/>
      </c>
      <c r="F10" s="5">
        <f>ROUND(D10/Zusammenfassung!$B$6,2)</f>
        <v/>
      </c>
      <c r="G10" s="8">
        <f>IF(C10=0,"",D10/(Zusammenfassung!$B$6*C10))</f>
        <v/>
      </c>
    </row>
    <row r="11">
      <c r="A11" s="2" t="inlineStr">
        <is>
          <t>Maschinen- und Anlagenführer/in (ohne Angabe des Schwerpunkts)</t>
        </is>
      </c>
      <c r="B11" s="2">
        <f>COUNTIF(Log!$C$2:$C$17318,A11)</f>
        <v/>
      </c>
      <c r="C11" s="2">
        <f>COUNTIFS(Log!$C$2:$C$17318,A11,Log!$F$2:$F$17318,Zusammenfassung!$B$2)</f>
        <v/>
      </c>
      <c r="D11" s="2">
        <f>COUNTIFS(Log!$C$2:$C$17318,A11,Log!$F$2:$F$17318,"&lt;"&amp;Zusammenfassung!$B$2)</f>
        <v/>
      </c>
      <c r="E11" s="2">
        <f>IFERROR(ROUND(AVERAGEIFS(Log!$G$2:$G$17318,Log!$C$2:$C$17318,A11,Log!$F$2:$F$17318,"&lt;"&amp;Zusammenfassung!$B$2),1),"")</f>
        <v/>
      </c>
      <c r="F11" s="5">
        <f>ROUND(D11/Zusammenfassung!$B$6,2)</f>
        <v/>
      </c>
      <c r="G11" s="8">
        <f>IF(C11=0,"",D11/(Zusammenfassung!$B$6*C11))</f>
        <v/>
      </c>
    </row>
    <row r="12">
      <c r="A12" s="2" t="inlineStr">
        <is>
          <t>Helfer/in - Metallbearbeitung</t>
        </is>
      </c>
      <c r="B12" s="2">
        <f>COUNTIF(Log!$C$2:$C$17318,A12)</f>
        <v/>
      </c>
      <c r="C12" s="2">
        <f>COUNTIFS(Log!$C$2:$C$17318,A12,Log!$F$2:$F$17318,Zusammenfassung!$B$2)</f>
        <v/>
      </c>
      <c r="D12" s="2">
        <f>COUNTIFS(Log!$C$2:$C$17318,A12,Log!$F$2:$F$17318,"&lt;"&amp;Zusammenfassung!$B$2)</f>
        <v/>
      </c>
      <c r="E12" s="2">
        <f>IFERROR(ROUND(AVERAGEIFS(Log!$G$2:$G$17318,Log!$C$2:$C$17318,A12,Log!$F$2:$F$17318,"&lt;"&amp;Zusammenfassung!$B$2),1),"")</f>
        <v/>
      </c>
      <c r="F12" s="5">
        <f>ROUND(D12/Zusammenfassung!$B$6,2)</f>
        <v/>
      </c>
      <c r="G12" s="8">
        <f>IF(C12=0,"",D12/(Zusammenfassung!$B$6*C12))</f>
        <v/>
      </c>
    </row>
    <row r="13">
      <c r="A13" s="2" t="inlineStr">
        <is>
          <t>Lager- und Transportarbeiter/in</t>
        </is>
      </c>
      <c r="B13" s="2">
        <f>COUNTIF(Log!$C$2:$C$17318,A13)</f>
        <v/>
      </c>
      <c r="C13" s="2">
        <f>COUNTIFS(Log!$C$2:$C$17318,A13,Log!$F$2:$F$17318,Zusammenfassung!$B$2)</f>
        <v/>
      </c>
      <c r="D13" s="2">
        <f>COUNTIFS(Log!$C$2:$C$17318,A13,Log!$F$2:$F$17318,"&lt;"&amp;Zusammenfassung!$B$2)</f>
        <v/>
      </c>
      <c r="E13" s="2">
        <f>IFERROR(ROUND(AVERAGEIFS(Log!$G$2:$G$17318,Log!$C$2:$C$17318,A13,Log!$F$2:$F$17318,"&lt;"&amp;Zusammenfassung!$B$2),1),"")</f>
        <v/>
      </c>
      <c r="F13" s="5">
        <f>ROUND(D13/Zusammenfassung!$B$6,2)</f>
        <v/>
      </c>
      <c r="G13" s="8">
        <f>IF(C13=0,"",D13/(Zusammenfassung!$B$6*C13))</f>
        <v/>
      </c>
    </row>
    <row r="14">
      <c r="A14" s="2" t="inlineStr">
        <is>
          <t>Zerspanungsmechaniker/in</t>
        </is>
      </c>
      <c r="B14" s="2">
        <f>COUNTIF(Log!$C$2:$C$17318,A14)</f>
        <v/>
      </c>
      <c r="C14" s="2">
        <f>COUNTIFS(Log!$C$2:$C$17318,A14,Log!$F$2:$F$17318,Zusammenfassung!$B$2)</f>
        <v/>
      </c>
      <c r="D14" s="2">
        <f>COUNTIFS(Log!$C$2:$C$17318,A14,Log!$F$2:$F$17318,"&lt;"&amp;Zusammenfassung!$B$2)</f>
        <v/>
      </c>
      <c r="E14" s="2">
        <f>IFERROR(ROUND(AVERAGEIFS(Log!$G$2:$G$17318,Log!$C$2:$C$17318,A14,Log!$F$2:$F$17318,"&lt;"&amp;Zusammenfassung!$B$2),1),"")</f>
        <v/>
      </c>
      <c r="F14" s="5">
        <f>ROUND(D14/Zusammenfassung!$B$6,2)</f>
        <v/>
      </c>
      <c r="G14" s="8">
        <f>IF(C14=0,"",D14/(Zusammenfassung!$B$6*C14))</f>
        <v/>
      </c>
    </row>
    <row r="15">
      <c r="A15" s="2" t="inlineStr">
        <is>
          <t>Ingenieur/in - Elektrotechnik</t>
        </is>
      </c>
      <c r="B15" s="2">
        <f>COUNTIF(Log!$C$2:$C$17318,A15)</f>
        <v/>
      </c>
      <c r="C15" s="2">
        <f>COUNTIFS(Log!$C$2:$C$17318,A15,Log!$F$2:$F$17318,Zusammenfassung!$B$2)</f>
        <v/>
      </c>
      <c r="D15" s="2">
        <f>COUNTIFS(Log!$C$2:$C$17318,A15,Log!$F$2:$F$17318,"&lt;"&amp;Zusammenfassung!$B$2)</f>
        <v/>
      </c>
      <c r="E15" s="2">
        <f>IFERROR(ROUND(AVERAGEIFS(Log!$G$2:$G$17318,Log!$C$2:$C$17318,A15,Log!$F$2:$F$17318,"&lt;"&amp;Zusammenfassung!$B$2),1),"")</f>
        <v/>
      </c>
      <c r="F15" s="5">
        <f>ROUND(D15/Zusammenfassung!$B$6,2)</f>
        <v/>
      </c>
      <c r="G15" s="8">
        <f>IF(C15=0,"",D15/(Zusammenfassung!$B$6*C15))</f>
        <v/>
      </c>
    </row>
    <row r="16">
      <c r="A16" s="2" t="inlineStr">
        <is>
          <t>Altenpfleger/in</t>
        </is>
      </c>
      <c r="B16" s="2">
        <f>COUNTIF(Log!$C$2:$C$17318,A16)</f>
        <v/>
      </c>
      <c r="C16" s="2">
        <f>COUNTIFS(Log!$C$2:$C$17318,A16,Log!$F$2:$F$17318,Zusammenfassung!$B$2)</f>
        <v/>
      </c>
      <c r="D16" s="2">
        <f>COUNTIFS(Log!$C$2:$C$17318,A16,Log!$F$2:$F$17318,"&lt;"&amp;Zusammenfassung!$B$2)</f>
        <v/>
      </c>
      <c r="E16" s="2">
        <f>IFERROR(ROUND(AVERAGEIFS(Log!$G$2:$G$17318,Log!$C$2:$C$17318,A16,Log!$F$2:$F$17318,"&lt;"&amp;Zusammenfassung!$B$2),1),"")</f>
        <v/>
      </c>
      <c r="F16" s="5">
        <f>ROUND(D16/Zusammenfassung!$B$6,2)</f>
        <v/>
      </c>
      <c r="G16" s="8">
        <f>IF(C16=0,"",D16/(Zusammenfassung!$B$6*C16))</f>
        <v/>
      </c>
    </row>
    <row r="17">
      <c r="A17" s="2" t="inlineStr">
        <is>
          <t>Filialleiter/in, Verkaufsstellenleiter/in</t>
        </is>
      </c>
      <c r="B17" s="2">
        <f>COUNTIF(Log!$C$2:$C$17318,A17)</f>
        <v/>
      </c>
      <c r="C17" s="2">
        <f>COUNTIFS(Log!$C$2:$C$17318,A17,Log!$F$2:$F$17318,Zusammenfassung!$B$2)</f>
        <v/>
      </c>
      <c r="D17" s="2">
        <f>COUNTIFS(Log!$C$2:$C$17318,A17,Log!$F$2:$F$17318,"&lt;"&amp;Zusammenfassung!$B$2)</f>
        <v/>
      </c>
      <c r="E17" s="2">
        <f>IFERROR(ROUND(AVERAGEIFS(Log!$G$2:$G$17318,Log!$C$2:$C$17318,A17,Log!$F$2:$F$17318,"&lt;"&amp;Zusammenfassung!$B$2),1),"")</f>
        <v/>
      </c>
      <c r="F17" s="5">
        <f>ROUND(D17/Zusammenfassung!$B$6,2)</f>
        <v/>
      </c>
      <c r="G17" s="8">
        <f>IF(C17=0,"",D17/(Zusammenfassung!$B$6*C17))</f>
        <v/>
      </c>
    </row>
    <row r="18">
      <c r="A18" s="2" t="inlineStr">
        <is>
          <t>Mechatroniker/in</t>
        </is>
      </c>
      <c r="B18" s="2">
        <f>COUNTIF(Log!$C$2:$C$17318,A18)</f>
        <v/>
      </c>
      <c r="C18" s="2">
        <f>COUNTIFS(Log!$C$2:$C$17318,A18,Log!$F$2:$F$17318,Zusammenfassung!$B$2)</f>
        <v/>
      </c>
      <c r="D18" s="2">
        <f>COUNTIFS(Log!$C$2:$C$17318,A18,Log!$F$2:$F$17318,"&lt;"&amp;Zusammenfassung!$B$2)</f>
        <v/>
      </c>
      <c r="E18" s="2">
        <f>IFERROR(ROUND(AVERAGEIFS(Log!$G$2:$G$17318,Log!$C$2:$C$17318,A18,Log!$F$2:$F$17318,"&lt;"&amp;Zusammenfassung!$B$2),1),"")</f>
        <v/>
      </c>
      <c r="F18" s="5">
        <f>ROUND(D18/Zusammenfassung!$B$6,2)</f>
        <v/>
      </c>
      <c r="G18" s="8">
        <f>IF(C18=0,"",D18/(Zusammenfassung!$B$6*C18))</f>
        <v/>
      </c>
    </row>
    <row r="19">
      <c r="A19" s="2" t="inlineStr">
        <is>
          <t>Montierer/in</t>
        </is>
      </c>
      <c r="B19" s="2">
        <f>COUNTIF(Log!$C$2:$C$17318,A19)</f>
        <v/>
      </c>
      <c r="C19" s="2">
        <f>COUNTIFS(Log!$C$2:$C$17318,A19,Log!$F$2:$F$17318,Zusammenfassung!$B$2)</f>
        <v/>
      </c>
      <c r="D19" s="2">
        <f>COUNTIFS(Log!$C$2:$C$17318,A19,Log!$F$2:$F$17318,"&lt;"&amp;Zusammenfassung!$B$2)</f>
        <v/>
      </c>
      <c r="E19" s="2">
        <f>IFERROR(ROUND(AVERAGEIFS(Log!$G$2:$G$17318,Log!$C$2:$C$17318,A19,Log!$F$2:$F$17318,"&lt;"&amp;Zusammenfassung!$B$2),1),"")</f>
        <v/>
      </c>
      <c r="F19" s="5">
        <f>ROUND(D19/Zusammenfassung!$B$6,2)</f>
        <v/>
      </c>
      <c r="G19" s="8">
        <f>IF(C19=0,"",D19/(Zusammenfassung!$B$6*C19))</f>
        <v/>
      </c>
    </row>
    <row r="20">
      <c r="A20" s="2" t="inlineStr">
        <is>
          <t>Koch/Köchin</t>
        </is>
      </c>
      <c r="B20" s="2">
        <f>COUNTIF(Log!$C$2:$C$17318,A20)</f>
        <v/>
      </c>
      <c r="C20" s="2">
        <f>COUNTIFS(Log!$C$2:$C$17318,A20,Log!$F$2:$F$17318,Zusammenfassung!$B$2)</f>
        <v/>
      </c>
      <c r="D20" s="2">
        <f>COUNTIFS(Log!$C$2:$C$17318,A20,Log!$F$2:$F$17318,"&lt;"&amp;Zusammenfassung!$B$2)</f>
        <v/>
      </c>
      <c r="E20" s="2">
        <f>IFERROR(ROUND(AVERAGEIFS(Log!$G$2:$G$17318,Log!$C$2:$C$17318,A20,Log!$F$2:$F$17318,"&lt;"&amp;Zusammenfassung!$B$2),1),"")</f>
        <v/>
      </c>
      <c r="F20" s="5">
        <f>ROUND(D20/Zusammenfassung!$B$6,2)</f>
        <v/>
      </c>
      <c r="G20" s="8">
        <f>IF(C20=0,"",D20/(Zusammenfassung!$B$6*C20))</f>
        <v/>
      </c>
    </row>
    <row r="21">
      <c r="A21" s="2" t="inlineStr">
        <is>
          <t>Fachlagerist/in</t>
        </is>
      </c>
      <c r="B21" s="2">
        <f>COUNTIF(Log!$C$2:$C$17318,A21)</f>
        <v/>
      </c>
      <c r="C21" s="2">
        <f>COUNTIFS(Log!$C$2:$C$17318,A21,Log!$F$2:$F$17318,Zusammenfassung!$B$2)</f>
        <v/>
      </c>
      <c r="D21" s="2">
        <f>COUNTIFS(Log!$C$2:$C$17318,A21,Log!$F$2:$F$17318,"&lt;"&amp;Zusammenfassung!$B$2)</f>
        <v/>
      </c>
      <c r="E21" s="2">
        <f>IFERROR(ROUND(AVERAGEIFS(Log!$G$2:$G$17318,Log!$C$2:$C$17318,A21,Log!$F$2:$F$17318,"&lt;"&amp;Zusammenfassung!$B$2),1),"")</f>
        <v/>
      </c>
      <c r="F21" s="5">
        <f>ROUND(D21/Zusammenfassung!$B$6,2)</f>
        <v/>
      </c>
      <c r="G21" s="8">
        <f>IF(C21=0,"",D21/(Zusammenfassung!$B$6*C21))</f>
        <v/>
      </c>
    </row>
    <row r="22">
      <c r="A22" s="2" t="inlineStr">
        <is>
          <t>Bürokaufmann/-frau</t>
        </is>
      </c>
      <c r="B22" s="2">
        <f>COUNTIF(Log!$C$2:$C$17318,A22)</f>
        <v/>
      </c>
      <c r="C22" s="2">
        <f>COUNTIFS(Log!$C$2:$C$17318,A22,Log!$F$2:$F$17318,Zusammenfassung!$B$2)</f>
        <v/>
      </c>
      <c r="D22" s="2">
        <f>COUNTIFS(Log!$C$2:$C$17318,A22,Log!$F$2:$F$17318,"&lt;"&amp;Zusammenfassung!$B$2)</f>
        <v/>
      </c>
      <c r="E22" s="2">
        <f>IFERROR(ROUND(AVERAGEIFS(Log!$G$2:$G$17318,Log!$C$2:$C$17318,A22,Log!$F$2:$F$17318,"&lt;"&amp;Zusammenfassung!$B$2),1),"")</f>
        <v/>
      </c>
      <c r="F22" s="5">
        <f>ROUND(D22/Zusammenfassung!$B$6,2)</f>
        <v/>
      </c>
      <c r="G22" s="8">
        <f>IF(C22=0,"",D22/(Zusammenfassung!$B$6*C22))</f>
        <v/>
      </c>
    </row>
    <row r="23">
      <c r="A23" s="2" t="inlineStr">
        <is>
          <t>Elektroniker/in - Betriebstechnik</t>
        </is>
      </c>
      <c r="B23" s="2">
        <f>COUNTIF(Log!$C$2:$C$17318,A23)</f>
        <v/>
      </c>
      <c r="C23" s="2">
        <f>COUNTIFS(Log!$C$2:$C$17318,A23,Log!$F$2:$F$17318,Zusammenfassung!$B$2)</f>
        <v/>
      </c>
      <c r="D23" s="2">
        <f>COUNTIFS(Log!$C$2:$C$17318,A23,Log!$F$2:$F$17318,"&lt;"&amp;Zusammenfassung!$B$2)</f>
        <v/>
      </c>
      <c r="E23" s="2">
        <f>IFERROR(ROUND(AVERAGEIFS(Log!$G$2:$G$17318,Log!$C$2:$C$17318,A23,Log!$F$2:$F$17318,"&lt;"&amp;Zusammenfassung!$B$2),1),"")</f>
        <v/>
      </c>
      <c r="F23" s="5">
        <f>ROUND(D23/Zusammenfassung!$B$6,2)</f>
        <v/>
      </c>
      <c r="G23" s="8">
        <f>IF(C23=0,"",D23/(Zusammenfassung!$B$6*C23))</f>
        <v/>
      </c>
    </row>
    <row r="24">
      <c r="A24" s="2" t="inlineStr">
        <is>
          <t>Anlagenmechaniker/in - Sanitär-, Heizungs- und Klimatechnik</t>
        </is>
      </c>
      <c r="B24" s="2">
        <f>COUNTIF(Log!$C$2:$C$17318,A24)</f>
        <v/>
      </c>
      <c r="C24" s="2">
        <f>COUNTIFS(Log!$C$2:$C$17318,A24,Log!$F$2:$F$17318,Zusammenfassung!$B$2)</f>
        <v/>
      </c>
      <c r="D24" s="2">
        <f>COUNTIFS(Log!$C$2:$C$17318,A24,Log!$F$2:$F$17318,"&lt;"&amp;Zusammenfassung!$B$2)</f>
        <v/>
      </c>
      <c r="E24" s="2">
        <f>IFERROR(ROUND(AVERAGEIFS(Log!$G$2:$G$17318,Log!$C$2:$C$17318,A24,Log!$F$2:$F$17318,"&lt;"&amp;Zusammenfassung!$B$2),1),"")</f>
        <v/>
      </c>
      <c r="F24" s="5">
        <f>ROUND(D24/Zusammenfassung!$B$6,2)</f>
        <v/>
      </c>
      <c r="G24" s="8">
        <f>IF(C24=0,"",D24/(Zusammenfassung!$B$6*C24))</f>
        <v/>
      </c>
    </row>
    <row r="25">
      <c r="A25" s="2" t="inlineStr">
        <is>
          <t>Gesundheits- und Krankenpfleger/in</t>
        </is>
      </c>
      <c r="B25" s="2">
        <f>COUNTIF(Log!$C$2:$C$17318,A25)</f>
        <v/>
      </c>
      <c r="C25" s="2">
        <f>COUNTIFS(Log!$C$2:$C$17318,A25,Log!$F$2:$F$17318,Zusammenfassung!$B$2)</f>
        <v/>
      </c>
      <c r="D25" s="2">
        <f>COUNTIFS(Log!$C$2:$C$17318,A25,Log!$F$2:$F$17318,"&lt;"&amp;Zusammenfassung!$B$2)</f>
        <v/>
      </c>
      <c r="E25" s="2">
        <f>IFERROR(ROUND(AVERAGEIFS(Log!$G$2:$G$17318,Log!$C$2:$C$17318,A25,Log!$F$2:$F$17318,"&lt;"&amp;Zusammenfassung!$B$2),1),"")</f>
        <v/>
      </c>
      <c r="F25" s="5">
        <f>ROUND(D25/Zusammenfassung!$B$6,2)</f>
        <v/>
      </c>
      <c r="G25" s="8">
        <f>IF(C25=0,"",D25/(Zusammenfassung!$B$6*C25))</f>
        <v/>
      </c>
    </row>
    <row r="26">
      <c r="A26" s="2" t="inlineStr">
        <is>
          <t>Elektroanlagenmonteur/in</t>
        </is>
      </c>
      <c r="B26" s="2">
        <f>COUNTIF(Log!$C$2:$C$17318,A26)</f>
        <v/>
      </c>
      <c r="C26" s="2">
        <f>COUNTIFS(Log!$C$2:$C$17318,A26,Log!$F$2:$F$17318,Zusammenfassung!$B$2)</f>
        <v/>
      </c>
      <c r="D26" s="2">
        <f>COUNTIFS(Log!$C$2:$C$17318,A26,Log!$F$2:$F$17318,"&lt;"&amp;Zusammenfassung!$B$2)</f>
        <v/>
      </c>
      <c r="E26" s="2">
        <f>IFERROR(ROUND(AVERAGEIFS(Log!$G$2:$G$17318,Log!$C$2:$C$17318,A26,Log!$F$2:$F$17318,"&lt;"&amp;Zusammenfassung!$B$2),1),"")</f>
        <v/>
      </c>
      <c r="F26" s="5">
        <f>ROUND(D26/Zusammenfassung!$B$6,2)</f>
        <v/>
      </c>
      <c r="G26" s="8">
        <f>IF(C26=0,"",D26/(Zusammenfassung!$B$6*C26))</f>
        <v/>
      </c>
    </row>
    <row r="27">
      <c r="A27" s="2" t="inlineStr">
        <is>
          <t>Medizinische/r Fachangestellte/r</t>
        </is>
      </c>
      <c r="B27" s="2">
        <f>COUNTIF(Log!$C$2:$C$17318,A27)</f>
        <v/>
      </c>
      <c r="C27" s="2">
        <f>COUNTIFS(Log!$C$2:$C$17318,A27,Log!$F$2:$F$17318,Zusammenfassung!$B$2)</f>
        <v/>
      </c>
      <c r="D27" s="2">
        <f>COUNTIFS(Log!$C$2:$C$17318,A27,Log!$F$2:$F$17318,"&lt;"&amp;Zusammenfassung!$B$2)</f>
        <v/>
      </c>
      <c r="E27" s="2">
        <f>IFERROR(ROUND(AVERAGEIFS(Log!$G$2:$G$17318,Log!$C$2:$C$17318,A27,Log!$F$2:$F$17318,"&lt;"&amp;Zusammenfassung!$B$2),1),"")</f>
        <v/>
      </c>
      <c r="F27" s="5">
        <f>ROUND(D27/Zusammenfassung!$B$6,2)</f>
        <v/>
      </c>
      <c r="G27" s="8">
        <f>IF(C27=0,"",D27/(Zusammenfassung!$B$6*C27))</f>
        <v/>
      </c>
    </row>
    <row r="28">
      <c r="A28" s="2" t="inlineStr">
        <is>
          <t>Elektroniker/in - Energie- und Gebäudetechnik</t>
        </is>
      </c>
      <c r="B28" s="2">
        <f>COUNTIF(Log!$C$2:$C$17318,A28)</f>
        <v/>
      </c>
      <c r="C28" s="2">
        <f>COUNTIFS(Log!$C$2:$C$17318,A28,Log!$F$2:$F$17318,Zusammenfassung!$B$2)</f>
        <v/>
      </c>
      <c r="D28" s="2">
        <f>COUNTIFS(Log!$C$2:$C$17318,A28,Log!$F$2:$F$17318,"&lt;"&amp;Zusammenfassung!$B$2)</f>
        <v/>
      </c>
      <c r="E28" s="2">
        <f>IFERROR(ROUND(AVERAGEIFS(Log!$G$2:$G$17318,Log!$C$2:$C$17318,A28,Log!$F$2:$F$17318,"&lt;"&amp;Zusammenfassung!$B$2),1),"")</f>
        <v/>
      </c>
      <c r="F28" s="5">
        <f>ROUND(D28/Zusammenfassung!$B$6,2)</f>
        <v/>
      </c>
      <c r="G28" s="8">
        <f>IF(C28=0,"",D28/(Zusammenfassung!$B$6*C28))</f>
        <v/>
      </c>
    </row>
    <row r="29">
      <c r="A29" s="2" t="inlineStr">
        <is>
          <t>Sozialarbeiter/in / Sozialpädagoge/-pädagogin</t>
        </is>
      </c>
      <c r="B29" s="2">
        <f>COUNTIF(Log!$C$2:$C$17318,A29)</f>
        <v/>
      </c>
      <c r="C29" s="2">
        <f>COUNTIFS(Log!$C$2:$C$17318,A29,Log!$F$2:$F$17318,Zusammenfassung!$B$2)</f>
        <v/>
      </c>
      <c r="D29" s="2">
        <f>COUNTIFS(Log!$C$2:$C$17318,A29,Log!$F$2:$F$17318,"&lt;"&amp;Zusammenfassung!$B$2)</f>
        <v/>
      </c>
      <c r="E29" s="2">
        <f>IFERROR(ROUND(AVERAGEIFS(Log!$G$2:$G$17318,Log!$C$2:$C$17318,A29,Log!$F$2:$F$17318,"&lt;"&amp;Zusammenfassung!$B$2),1),"")</f>
        <v/>
      </c>
      <c r="F29" s="5">
        <f>ROUND(D29/Zusammenfassung!$B$6,2)</f>
        <v/>
      </c>
      <c r="G29" s="8">
        <f>IF(C29=0,"",D29/(Zusammenfassung!$B$6*C29))</f>
        <v/>
      </c>
    </row>
    <row r="30">
      <c r="A30" s="2" t="inlineStr">
        <is>
          <t>Kommissionierer/in</t>
        </is>
      </c>
      <c r="B30" s="2">
        <f>COUNTIF(Log!$C$2:$C$17318,A30)</f>
        <v/>
      </c>
      <c r="C30" s="2">
        <f>COUNTIFS(Log!$C$2:$C$17318,A30,Log!$F$2:$F$17318,Zusammenfassung!$B$2)</f>
        <v/>
      </c>
      <c r="D30" s="2">
        <f>COUNTIFS(Log!$C$2:$C$17318,A30,Log!$F$2:$F$17318,"&lt;"&amp;Zusammenfassung!$B$2)</f>
        <v/>
      </c>
      <c r="E30" s="2">
        <f>IFERROR(ROUND(AVERAGEIFS(Log!$G$2:$G$17318,Log!$C$2:$C$17318,A30,Log!$F$2:$F$17318,"&lt;"&amp;Zusammenfassung!$B$2),1),"")</f>
        <v/>
      </c>
      <c r="F30" s="5">
        <f>ROUND(D30/Zusammenfassung!$B$6,2)</f>
        <v/>
      </c>
      <c r="G30" s="8">
        <f>IF(C30=0,"",D30/(Zusammenfassung!$B$6*C30))</f>
        <v/>
      </c>
    </row>
    <row r="31">
      <c r="A31" s="2" t="inlineStr">
        <is>
          <t>Helfer/in - Elektro</t>
        </is>
      </c>
      <c r="B31" s="2">
        <f>COUNTIF(Log!$C$2:$C$17318,A31)</f>
        <v/>
      </c>
      <c r="C31" s="2">
        <f>COUNTIFS(Log!$C$2:$C$17318,A31,Log!$F$2:$F$17318,Zusammenfassung!$B$2)</f>
        <v/>
      </c>
      <c r="D31" s="2">
        <f>COUNTIFS(Log!$C$2:$C$17318,A31,Log!$F$2:$F$17318,"&lt;"&amp;Zusammenfassung!$B$2)</f>
        <v/>
      </c>
      <c r="E31" s="2">
        <f>IFERROR(ROUND(AVERAGEIFS(Log!$G$2:$G$17318,Log!$C$2:$C$17318,A31,Log!$F$2:$F$17318,"&lt;"&amp;Zusammenfassung!$B$2),1),"")</f>
        <v/>
      </c>
      <c r="F31" s="5">
        <f>ROUND(D31/Zusammenfassung!$B$6,2)</f>
        <v/>
      </c>
      <c r="G31" s="8">
        <f>IF(C31=0,"",D31/(Zusammenfassung!$B$6*C31))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6" t="inlineStr">
        <is>
          <t>Arbeitgeber</t>
        </is>
      </c>
      <c r="B1" s="6" t="inlineStr">
        <is>
          <t>Offene Stellen (aktuell)</t>
        </is>
      </c>
      <c r="C1" s="6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COUNTIFS(Log!$D$2:$D$17318,A2,Log!$F$2:$F$17318,Zusammenfassung!$B$2)</f>
        <v/>
      </c>
      <c r="C2" s="2">
        <f>COUNTIF(Log!$D$2:$D$17318,A2)</f>
        <v/>
      </c>
    </row>
    <row r="3">
      <c r="A3" s="2" t="inlineStr">
        <is>
          <t>DEKRA Arbeit GmbH</t>
        </is>
      </c>
      <c r="B3" s="2">
        <f>COUNTIFS(Log!$D$2:$D$17318,A3,Log!$F$2:$F$17318,Zusammenfassung!$B$2)</f>
        <v/>
      </c>
      <c r="C3" s="2">
        <f>COUNTIF(Log!$D$2:$D$17318,A3)</f>
        <v/>
      </c>
    </row>
    <row r="4">
      <c r="A4" s="2" t="inlineStr">
        <is>
          <t>Lidl Dienstleistung GmbH &amp; Co. KG</t>
        </is>
      </c>
      <c r="B4" s="2">
        <f>COUNTIFS(Log!$D$2:$D$17318,A4,Log!$F$2:$F$17318,Zusammenfassung!$B$2)</f>
        <v/>
      </c>
      <c r="C4" s="2">
        <f>COUNTIF(Log!$D$2:$D$17318,A4)</f>
        <v/>
      </c>
    </row>
    <row r="5">
      <c r="A5" s="2" t="inlineStr">
        <is>
          <t>Netto Marken-Discount Stiftung &amp; Co. KG</t>
        </is>
      </c>
      <c r="B5" s="2">
        <f>COUNTIFS(Log!$D$2:$D$17318,A5,Log!$F$2:$F$17318,Zusammenfassung!$B$2)</f>
        <v/>
      </c>
      <c r="C5" s="2">
        <f>COUNTIF(Log!$D$2:$D$17318,A5)</f>
        <v/>
      </c>
    </row>
    <row r="6">
      <c r="A6" s="2" t="inlineStr">
        <is>
          <t>SOCCO GROUP GmbH NL Schorndorf</t>
        </is>
      </c>
      <c r="B6" s="2">
        <f>COUNTIFS(Log!$D$2:$D$17318,A6,Log!$F$2:$F$17318,Zusammenfassung!$B$2)</f>
        <v/>
      </c>
      <c r="C6" s="2">
        <f>COUNTIF(Log!$D$2:$D$17318,A6)</f>
        <v/>
      </c>
    </row>
    <row r="7">
      <c r="A7" s="2" t="inlineStr">
        <is>
          <t>SOCCO Leonberg GmbH</t>
        </is>
      </c>
      <c r="B7" s="2">
        <f>COUNTIFS(Log!$D$2:$D$17318,A7,Log!$F$2:$F$17318,Zusammenfassung!$B$2)</f>
        <v/>
      </c>
      <c r="C7" s="2">
        <f>COUNTIF(Log!$D$2:$D$17318,A7)</f>
        <v/>
      </c>
    </row>
    <row r="8">
      <c r="A8" s="2" t="inlineStr">
        <is>
          <t>temPERSO Rummel &amp; Glass GmbH</t>
        </is>
      </c>
      <c r="B8" s="2">
        <f>COUNTIFS(Log!$D$2:$D$17318,A8,Log!$F$2:$F$17318,Zusammenfassung!$B$2)</f>
        <v/>
      </c>
      <c r="C8" s="2">
        <f>COUNTIF(Log!$D$2:$D$17318,A8)</f>
        <v/>
      </c>
    </row>
    <row r="9">
      <c r="A9" s="2" t="inlineStr">
        <is>
          <t>JobImpulse Süd GmbH Esslingen</t>
        </is>
      </c>
      <c r="B9" s="2">
        <f>COUNTIFS(Log!$D$2:$D$17318,A9,Log!$F$2:$F$17318,Zusammenfassung!$B$2)</f>
        <v/>
      </c>
      <c r="C9" s="2">
        <f>COUNTIF(Log!$D$2:$D$17318,A9)</f>
        <v/>
      </c>
    </row>
    <row r="10">
      <c r="A10" s="2" t="inlineStr">
        <is>
          <t>Tempton Personaldienstleistungen GmbH NL Ludwigsburg</t>
        </is>
      </c>
      <c r="B10" s="2">
        <f>COUNTIFS(Log!$D$2:$D$17318,A10,Log!$F$2:$F$17318,Zusammenfassung!$B$2)</f>
        <v/>
      </c>
      <c r="C10" s="2">
        <f>COUNTIF(Log!$D$2:$D$17318,A10)</f>
        <v/>
      </c>
    </row>
    <row r="11">
      <c r="A11" s="2" t="inlineStr">
        <is>
          <t>K-Plus Personalmanagement GmbH</t>
        </is>
      </c>
      <c r="B11" s="2">
        <f>COUNTIFS(Log!$D$2:$D$17318,A11,Log!$F$2:$F$17318,Zusammenfassung!$B$2)</f>
        <v/>
      </c>
      <c r="C11" s="2">
        <f>COUNTIF(Log!$D$2:$D$17318,A11)</f>
        <v/>
      </c>
    </row>
    <row r="12">
      <c r="A12" s="2" t="inlineStr">
        <is>
          <t>Pflegewerk GmbH</t>
        </is>
      </c>
      <c r="B12" s="2">
        <f>COUNTIFS(Log!$D$2:$D$17318,A12,Log!$F$2:$F$17318,Zusammenfassung!$B$2)</f>
        <v/>
      </c>
      <c r="C12" s="2">
        <f>COUNTIF(Log!$D$2:$D$17318,A12)</f>
        <v/>
      </c>
    </row>
    <row r="13">
      <c r="A13" s="2" t="inlineStr">
        <is>
          <t>Randstad Deutschland</t>
        </is>
      </c>
      <c r="B13" s="2">
        <f>COUNTIFS(Log!$D$2:$D$17318,A13,Log!$F$2:$F$17318,Zusammenfassung!$B$2)</f>
        <v/>
      </c>
      <c r="C13" s="2">
        <f>COUNTIF(Log!$D$2:$D$17318,A13)</f>
        <v/>
      </c>
    </row>
    <row r="14">
      <c r="A14" s="2" t="inlineStr">
        <is>
          <t>PSAV Personalserv.&amp;Arbeitsverm</t>
        </is>
      </c>
      <c r="B14" s="2">
        <f>COUNTIFS(Log!$D$2:$D$17318,A14,Log!$F$2:$F$17318,Zusammenfassung!$B$2)</f>
        <v/>
      </c>
      <c r="C14" s="2">
        <f>COUNTIF(Log!$D$2:$D$17318,A14)</f>
        <v/>
      </c>
    </row>
    <row r="15">
      <c r="A15" s="2" t="inlineStr">
        <is>
          <t>Tempton Personaldienstleistungen GmbH NL Aalen</t>
        </is>
      </c>
      <c r="B15" s="2">
        <f>COUNTIFS(Log!$D$2:$D$17318,A15,Log!$F$2:$F$17318,Zusammenfassung!$B$2)</f>
        <v/>
      </c>
      <c r="C15" s="2">
        <f>COUNTIF(Log!$D$2:$D$17318,A15)</f>
        <v/>
      </c>
    </row>
    <row r="16">
      <c r="A16" s="2" t="inlineStr">
        <is>
          <t>Diakonie Stetten e.V.</t>
        </is>
      </c>
      <c r="B16" s="2">
        <f>COUNTIFS(Log!$D$2:$D$17318,A16,Log!$F$2:$F$17318,Zusammenfassung!$B$2)</f>
        <v/>
      </c>
      <c r="C16" s="2">
        <f>COUNTIF(Log!$D$2:$D$17318,A16)</f>
        <v/>
      </c>
    </row>
    <row r="17">
      <c r="A17" s="2" t="inlineStr">
        <is>
          <t>REWE Markt GmbH ZwNL Südwest</t>
        </is>
      </c>
      <c r="B17" s="2">
        <f>COUNTIFS(Log!$D$2:$D$17318,A17,Log!$F$2:$F$17318,Zusammenfassung!$B$2)</f>
        <v/>
      </c>
      <c r="C17" s="2">
        <f>COUNTIF(Log!$D$2:$D$17318,A17)</f>
        <v/>
      </c>
    </row>
    <row r="18">
      <c r="A18" s="2" t="inlineStr">
        <is>
          <t>Kliniken Ostalb</t>
        </is>
      </c>
      <c r="B18" s="2">
        <f>COUNTIFS(Log!$D$2:$D$17318,A18,Log!$F$2:$F$17318,Zusammenfassung!$B$2)</f>
        <v/>
      </c>
      <c r="C18" s="2">
        <f>COUNTIF(Log!$D$2:$D$17318,A18)</f>
        <v/>
      </c>
    </row>
    <row r="19">
      <c r="A19" s="2" t="inlineStr">
        <is>
          <t>TOP Personaldienstleistungen GmbH</t>
        </is>
      </c>
      <c r="B19" s="2">
        <f>COUNTIFS(Log!$D$2:$D$17318,A19,Log!$F$2:$F$17318,Zusammenfassung!$B$2)</f>
        <v/>
      </c>
      <c r="C19" s="2">
        <f>COUNTIF(Log!$D$2:$D$17318,A19)</f>
        <v/>
      </c>
    </row>
    <row r="20">
      <c r="A20" s="2" t="inlineStr">
        <is>
          <t>Waiblinger Zeitarbeit GmbH</t>
        </is>
      </c>
      <c r="B20" s="2">
        <f>COUNTIFS(Log!$D$2:$D$17318,A20,Log!$F$2:$F$17318,Zusammenfassung!$B$2)</f>
        <v/>
      </c>
      <c r="C20" s="2">
        <f>COUNTIF(Log!$D$2:$D$17318,A20)</f>
        <v/>
      </c>
    </row>
    <row r="21">
      <c r="A21" s="2" t="inlineStr">
        <is>
          <t>tempster GmbH</t>
        </is>
      </c>
      <c r="B21" s="2">
        <f>COUNTIFS(Log!$D$2:$D$17318,A21,Log!$F$2:$F$17318,Zusammenfassung!$B$2)</f>
        <v/>
      </c>
      <c r="C21" s="2">
        <f>COUNTIF(Log!$D$2:$D$17318,A21)</f>
        <v/>
      </c>
    </row>
    <row r="22">
      <c r="A22" s="2" t="inlineStr">
        <is>
          <t>REWE</t>
        </is>
      </c>
      <c r="B22" s="2">
        <f>COUNTIFS(Log!$D$2:$D$17318,A22,Log!$F$2:$F$17318,Zusammenfassung!$B$2)</f>
        <v/>
      </c>
      <c r="C22" s="2">
        <f>COUNTIF(Log!$D$2:$D$17318,A22)</f>
        <v/>
      </c>
    </row>
    <row r="23">
      <c r="A23" s="2" t="inlineStr">
        <is>
          <t>Klinikum der Landeshauptstadt Stuttgart gKAöR</t>
        </is>
      </c>
      <c r="B23" s="2">
        <f>COUNTIFS(Log!$D$2:$D$17318,A23,Log!$F$2:$F$17318,Zusammenfassung!$B$2)</f>
        <v/>
      </c>
      <c r="C23" s="2">
        <f>COUNTIF(Log!$D$2:$D$17318,A23)</f>
        <v/>
      </c>
    </row>
    <row r="24">
      <c r="A24" s="2" t="inlineStr">
        <is>
          <t>FERCHAU GmbH Niederlassung Heidenheim</t>
        </is>
      </c>
      <c r="B24" s="2">
        <f>COUNTIFS(Log!$D$2:$D$17318,A24,Log!$F$2:$F$17318,Zusammenfassung!$B$2)</f>
        <v/>
      </c>
      <c r="C24" s="2">
        <f>COUNTIF(Log!$D$2:$D$17318,A24)</f>
        <v/>
      </c>
    </row>
    <row r="25">
      <c r="A25" s="2" t="inlineStr">
        <is>
          <t>Persona Service AG &amp; Co. KG Backnang</t>
        </is>
      </c>
      <c r="B25" s="2">
        <f>COUNTIFS(Log!$D$2:$D$17318,A25,Log!$F$2:$F$17318,Zusammenfassung!$B$2)</f>
        <v/>
      </c>
      <c r="C25" s="2">
        <f>COUNTIF(Log!$D$2:$D$17318,A25)</f>
        <v/>
      </c>
    </row>
    <row r="26">
      <c r="A26" s="2" t="inlineStr">
        <is>
          <t>Career Scout GmbH</t>
        </is>
      </c>
      <c r="B26" s="2">
        <f>COUNTIFS(Log!$D$2:$D$17318,A26,Log!$F$2:$F$17318,Zusammenfassung!$B$2)</f>
        <v/>
      </c>
      <c r="C26" s="2">
        <f>COUNTIF(Log!$D$2:$D$17318,A26)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6" t="inlineStr">
        <is>
          <t>Beruf</t>
        </is>
      </c>
      <c r="B1" s="6" t="inlineStr">
        <is>
          <t>Offene Stellen (aktuell)</t>
        </is>
      </c>
      <c r="C1" s="6" t="inlineStr">
        <is>
          <t>Arbeitslose (manuell, BA-Statistik)</t>
        </is>
      </c>
      <c r="D1" s="6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9" t="n"/>
      <c r="D2" s="10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9" t="n"/>
      <c r="D3" s="10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9" t="n"/>
      <c r="D4" s="10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9" t="n"/>
      <c r="D5" s="10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9" t="n"/>
      <c r="D6" s="10">
        <f>IF(OR(C6="",B6=0),"",ROUND(C6/B6,1))</f>
        <v/>
      </c>
    </row>
    <row r="7">
      <c r="A7" s="2" t="inlineStr">
        <is>
          <t>Helfer/in - Verkauf</t>
        </is>
      </c>
      <c r="B7" s="2">
        <f>Aktuell!F7</f>
        <v/>
      </c>
      <c r="C7" s="9" t="n"/>
      <c r="D7" s="10">
        <f>IF(OR(C7="",B7=0),"",ROUND(C7/B7,1))</f>
        <v/>
      </c>
    </row>
    <row r="8">
      <c r="A8" s="2" t="inlineStr">
        <is>
          <t>Fachkraft - Lagerlogistik</t>
        </is>
      </c>
      <c r="B8" s="2">
        <f>Aktuell!F8</f>
        <v/>
      </c>
      <c r="C8" s="9" t="n"/>
      <c r="D8" s="10">
        <f>IF(OR(C8="",B8=0),"",ROUND(C8/B8,1))</f>
        <v/>
      </c>
    </row>
    <row r="9">
      <c r="A9" s="2" t="inlineStr">
        <is>
          <t>Erzieher/in</t>
        </is>
      </c>
      <c r="B9" s="2">
        <f>Aktuell!F9</f>
        <v/>
      </c>
      <c r="C9" s="9" t="n"/>
      <c r="D9" s="10">
        <f>IF(OR(C9="",B9=0),"",ROUND(C9/B9,1))</f>
        <v/>
      </c>
    </row>
    <row r="10">
      <c r="A10" s="2" t="inlineStr">
        <is>
          <t>Berufskraftfahrer/in</t>
        </is>
      </c>
      <c r="B10" s="2">
        <f>Aktuell!F10</f>
        <v/>
      </c>
      <c r="C10" s="9" t="n"/>
      <c r="D10" s="10">
        <f>IF(OR(C10="",B10=0),"",ROUND(C10/B10,1))</f>
        <v/>
      </c>
    </row>
    <row r="11">
      <c r="A11" s="2" t="inlineStr">
        <is>
          <t>Lager- und Transportarbeiter/in</t>
        </is>
      </c>
      <c r="B11" s="2">
        <f>Aktuell!F11</f>
        <v/>
      </c>
      <c r="C11" s="9" t="n"/>
      <c r="D11" s="10">
        <f>IF(OR(C11="",B11=0),"",ROUND(C11/B11,1))</f>
        <v/>
      </c>
    </row>
    <row r="12">
      <c r="A12" s="2" t="inlineStr">
        <is>
          <t>Maschinen- und Anlagenführer/in (ohne Angabe des Schwerpunkts)</t>
        </is>
      </c>
      <c r="B12" s="2">
        <f>Aktuell!F12</f>
        <v/>
      </c>
      <c r="C12" s="9" t="n"/>
      <c r="D12" s="10">
        <f>IF(OR(C12="",B12=0),"",ROUND(C12/B12,1))</f>
        <v/>
      </c>
    </row>
    <row r="13">
      <c r="A13" s="2" t="inlineStr">
        <is>
          <t>Helfer/in - Metallbearbeitung</t>
        </is>
      </c>
      <c r="B13" s="2">
        <f>Aktuell!F13</f>
        <v/>
      </c>
      <c r="C13" s="9" t="n"/>
      <c r="D13" s="10">
        <f>IF(OR(C13="",B13=0),"",ROUND(C13/B13,1))</f>
        <v/>
      </c>
    </row>
    <row r="14">
      <c r="A14" s="2" t="inlineStr">
        <is>
          <t>Zerspanungsmechaniker/in</t>
        </is>
      </c>
      <c r="B14" s="2">
        <f>Aktuell!F14</f>
        <v/>
      </c>
      <c r="C14" s="9" t="n"/>
      <c r="D14" s="10">
        <f>IF(OR(C14="",B14=0),"",ROUND(C14/B14,1))</f>
        <v/>
      </c>
    </row>
    <row r="15">
      <c r="A15" s="2" t="inlineStr">
        <is>
          <t>Altenpfleger/in</t>
        </is>
      </c>
      <c r="B15" s="2">
        <f>Aktuell!F15</f>
        <v/>
      </c>
      <c r="C15" s="9" t="n"/>
      <c r="D15" s="10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9" t="n"/>
      <c r="D16" s="10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9" t="n"/>
      <c r="D17" s="10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Aktuell!F18</f>
        <v/>
      </c>
      <c r="C18" s="9" t="n"/>
      <c r="D18" s="10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9" t="n"/>
      <c r="D19" s="10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9" t="n"/>
      <c r="D20" s="10">
        <f>IF(OR(C20="",B20=0),"",ROUND(C20/B20,1))</f>
        <v/>
      </c>
    </row>
    <row r="21">
      <c r="A21" s="2" t="inlineStr">
        <is>
          <t>Elektroniker/in - Energie- und Gebäudetechnik</t>
        </is>
      </c>
      <c r="B21" s="2">
        <f>Aktuell!F21</f>
        <v/>
      </c>
      <c r="C21" s="9" t="n"/>
      <c r="D21" s="10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2026-07-11T07:52:44Z</dcterms:created>
  <dcterms:modified xsi:type="dcterms:W3CDTF">2026-07-11T07:52:50Z</dcterms:modified>
</cp:coreProperties>
</file>