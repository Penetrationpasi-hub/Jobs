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'Zeitreihe'!$B$2:$B$4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'Zeitreihe'!$C$2:$C$4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'Zeitreihe'!$D$2:$D$4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'Zeitreihe'!$E$2:$E$4</f>
            </numRef>
          </val>
          <smooth val="0"/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'Zeitreihe'!$F$2:$F$4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Region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46211</v>
      </c>
    </row>
    <row r="3">
      <c r="A3" s="3" t="inlineStr">
        <is>
          <t>Erhebungstage</t>
        </is>
      </c>
      <c r="B3" s="2" t="n">
        <v>3</v>
      </c>
    </row>
    <row r="4">
      <c r="A4" s="3" t="inlineStr">
        <is>
          <t>Regionen</t>
        </is>
      </c>
      <c r="B4" s="2" t="inlineStr">
        <is>
          <t>Ostalbkreis, Rems-Murr-Kreis, Waiblingen 15 km (alt), Waiblingen 30 km</t>
        </is>
      </c>
    </row>
    <row r="5">
      <c r="A5" s="3" t="inlineStr">
        <is>
          <t>Stellen je gesehen (Log)</t>
        </is>
      </c>
      <c r="B5" s="2" t="n">
        <v>16005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4" customWidth="1" min="4" max="4"/>
    <col width="18" customWidth="1" min="5" max="5"/>
    <col width="13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</row>
    <row r="2">
      <c r="A2" s="4" t="n">
        <v>46209</v>
      </c>
      <c r="B2" s="6" t="n">
        <v>5522</v>
      </c>
      <c r="C2" s="6" t="n">
        <v>8717</v>
      </c>
      <c r="D2" s="6" t="n">
        <v>10373</v>
      </c>
      <c r="E2" s="6" t="n">
        <v>20123</v>
      </c>
      <c r="F2" s="6">
        <f>SUM(B2:E2)</f>
        <v/>
      </c>
    </row>
    <row r="3">
      <c r="A3" s="4" t="n">
        <v>46210</v>
      </c>
      <c r="B3" s="6" t="n">
        <v>5546</v>
      </c>
      <c r="C3" s="6" t="n">
        <v>8719</v>
      </c>
      <c r="D3" s="6" t="n"/>
      <c r="E3" s="6" t="n">
        <v>20096</v>
      </c>
      <c r="F3" s="6">
        <f>SUM(B3:E3)</f>
        <v/>
      </c>
    </row>
    <row r="4">
      <c r="A4" s="4" t="n">
        <v>46211</v>
      </c>
      <c r="B4" s="6" t="n">
        <v>5543</v>
      </c>
      <c r="C4" s="6" t="n">
        <v>8788</v>
      </c>
      <c r="D4" s="6" t="n"/>
      <c r="E4" s="6" t="n">
        <v>20220</v>
      </c>
      <c r="F4" s="6">
        <f>SUM(B4:E4)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7" customWidth="1" min="7" max="7"/>
    <col width="22" customWidth="1" min="8" max="8"/>
    <col width="33" customWidth="1" min="9" max="9"/>
    <col width="45" customWidth="1" min="10" max="10"/>
    <col width="21" customWidth="1" min="11" max="11"/>
    <col width="31" customWidth="1" min="12" max="12"/>
    <col width="13" customWidth="1" min="13" max="13"/>
    <col width="17" customWidth="1" min="14" max="14"/>
    <col width="26" customWidth="1" min="15" max="15"/>
    <col width="31" customWidth="1" min="16" max="16"/>
    <col width="43" customWidth="1" min="17" max="17"/>
    <col width="18" customWidth="1" min="18" max="18"/>
    <col width="14" customWidth="1" min="19" max="19"/>
    <col width="17" customWidth="1" min="20" max="20"/>
    <col width="36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Fachkraft - Lagerlogistik</t>
        </is>
      </c>
      <c r="H1" s="5" t="inlineStr">
        <is>
          <t>Berufskraftfahrer/in</t>
        </is>
      </c>
      <c r="I1" s="5" t="inlineStr">
        <is>
          <t>Lager- und Transportarbeiter/in</t>
        </is>
      </c>
      <c r="J1" s="5" t="inlineStr">
        <is>
          <t>Maschinen- und Anlagenführer/in (ohne Angabe des Schwerpunkts)</t>
        </is>
      </c>
      <c r="K1" s="5" t="inlineStr">
        <is>
          <t>Helfer/in - Verkauf</t>
        </is>
      </c>
      <c r="L1" s="5" t="inlineStr">
        <is>
          <t>Helfer/in - Metallbearbeitung</t>
        </is>
      </c>
      <c r="M1" s="5" t="inlineStr">
        <is>
          <t>Erzieher/in</t>
        </is>
      </c>
      <c r="N1" s="5" t="inlineStr">
        <is>
          <t>Altenpfleger/in</t>
        </is>
      </c>
      <c r="O1" s="5" t="inlineStr">
        <is>
          <t>Zerspanungsmechaniker/in</t>
        </is>
      </c>
      <c r="P1" s="5" t="inlineStr">
        <is>
          <t>Ingenieur/in - Elektrotechnik</t>
        </is>
      </c>
      <c r="Q1" s="5" t="inlineStr">
        <is>
          <t>Filialleiter/in, Verkaufsstellenleiter/in</t>
        </is>
      </c>
      <c r="R1" s="5" t="inlineStr">
        <is>
          <t>Mechatroniker/in</t>
        </is>
      </c>
      <c r="S1" s="5" t="inlineStr">
        <is>
          <t>Montierer/in</t>
        </is>
      </c>
      <c r="T1" s="5" t="inlineStr">
        <is>
          <t>Fachlagerist/in</t>
        </is>
      </c>
      <c r="U1" s="5" t="inlineStr">
        <is>
          <t>Gesundheits- und Krankenpfleger/in</t>
        </is>
      </c>
    </row>
    <row r="2">
      <c r="A2" s="4" t="n">
        <v>46209</v>
      </c>
      <c r="B2" s="2" t="n">
        <v>2386</v>
      </c>
      <c r="C2" s="2" t="n">
        <v>1659</v>
      </c>
      <c r="D2" s="2" t="n">
        <v>1250</v>
      </c>
      <c r="E2" s="2" t="n">
        <v>1198</v>
      </c>
      <c r="F2" s="2" t="n">
        <v>1149</v>
      </c>
      <c r="G2" s="2" t="n">
        <v>954</v>
      </c>
      <c r="H2" s="2" t="n">
        <v>959</v>
      </c>
      <c r="I2" s="2" t="n">
        <v>883</v>
      </c>
      <c r="J2" s="2" t="n">
        <v>889</v>
      </c>
      <c r="K2" s="2" t="n">
        <v>885</v>
      </c>
      <c r="L2" s="2" t="n">
        <v>822</v>
      </c>
      <c r="M2" s="2" t="n">
        <v>831</v>
      </c>
      <c r="N2" s="2" t="n">
        <v>825</v>
      </c>
      <c r="O2" s="2" t="n">
        <v>775</v>
      </c>
      <c r="P2" s="2" t="n">
        <v>671</v>
      </c>
      <c r="Q2" s="2" t="n">
        <v>655</v>
      </c>
      <c r="R2" s="2" t="n">
        <v>624</v>
      </c>
      <c r="S2" s="2" t="n">
        <v>603</v>
      </c>
      <c r="T2" s="2" t="n">
        <v>561</v>
      </c>
      <c r="U2" s="2" t="n">
        <v>579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242</v>
      </c>
      <c r="H3" s="2" t="n">
        <v>242</v>
      </c>
      <c r="I3" s="2" t="n">
        <v>223</v>
      </c>
      <c r="J3" s="2" t="n">
        <v>225</v>
      </c>
      <c r="K3" s="2" t="n">
        <v>215</v>
      </c>
      <c r="L3" s="2" t="n">
        <v>214</v>
      </c>
      <c r="M3" s="2" t="n">
        <v>199</v>
      </c>
      <c r="N3" s="2" t="n">
        <v>203</v>
      </c>
      <c r="O3" s="2" t="n">
        <v>191</v>
      </c>
      <c r="P3" s="2" t="n">
        <v>152</v>
      </c>
      <c r="Q3" s="2" t="n">
        <v>163</v>
      </c>
      <c r="R3" s="2" t="n">
        <v>160</v>
      </c>
      <c r="S3" s="2" t="n">
        <v>150</v>
      </c>
      <c r="T3" s="2" t="n">
        <v>140</v>
      </c>
      <c r="U3" s="2" t="n">
        <v>137</v>
      </c>
    </row>
    <row r="4">
      <c r="A4" s="4" t="n">
        <v>46211</v>
      </c>
      <c r="B4" s="2" t="n">
        <v>1238</v>
      </c>
      <c r="C4" s="2" t="n">
        <v>805</v>
      </c>
      <c r="D4" s="2" t="n">
        <v>640</v>
      </c>
      <c r="E4" s="2" t="n">
        <v>599</v>
      </c>
      <c r="F4" s="2" t="n">
        <v>575</v>
      </c>
      <c r="G4" s="2" t="n">
        <v>487</v>
      </c>
      <c r="H4" s="2" t="n">
        <v>480</v>
      </c>
      <c r="I4" s="2" t="n">
        <v>446</v>
      </c>
      <c r="J4" s="2" t="n">
        <v>439</v>
      </c>
      <c r="K4" s="2" t="n">
        <v>427</v>
      </c>
      <c r="L4" s="2" t="n">
        <v>413</v>
      </c>
      <c r="M4" s="2" t="n">
        <v>412</v>
      </c>
      <c r="N4" s="2" t="n">
        <v>407</v>
      </c>
      <c r="O4" s="2" t="n">
        <v>392</v>
      </c>
      <c r="P4" s="2" t="n">
        <v>325</v>
      </c>
      <c r="Q4" s="2" t="n">
        <v>322</v>
      </c>
      <c r="R4" s="2" t="n">
        <v>316</v>
      </c>
      <c r="S4" s="2" t="n">
        <v>307</v>
      </c>
      <c r="T4" s="2" t="n">
        <v>288</v>
      </c>
      <c r="U4" s="2" t="n">
        <v>287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24" customWidth="1" min="4" max="4"/>
    <col width="18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214</v>
      </c>
      <c r="C2" s="2" t="n">
        <v>220</v>
      </c>
      <c r="D2" s="2" t="n"/>
      <c r="E2" s="2" t="n">
        <v>184</v>
      </c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166</v>
      </c>
      <c r="C3" s="2" t="n">
        <v>131</v>
      </c>
      <c r="D3" s="2" t="n"/>
      <c r="E3" s="2" t="n">
        <v>103</v>
      </c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100</v>
      </c>
      <c r="C4" s="2" t="n">
        <v>123</v>
      </c>
      <c r="D4" s="2" t="n"/>
      <c r="E4" s="2" t="n">
        <v>98</v>
      </c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126</v>
      </c>
      <c r="C5" s="2" t="n">
        <v>105</v>
      </c>
      <c r="D5" s="2" t="n"/>
      <c r="E5" s="2" t="n">
        <v>68</v>
      </c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115</v>
      </c>
      <c r="C6" s="2" t="n">
        <v>95</v>
      </c>
      <c r="D6" s="2" t="n"/>
      <c r="E6" s="2" t="n">
        <v>78</v>
      </c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Fachkraft - Lagerlogistik</t>
        </is>
      </c>
      <c r="B7" s="2" t="n">
        <v>95</v>
      </c>
      <c r="C7" s="2" t="n">
        <v>81</v>
      </c>
      <c r="D7" s="2" t="n"/>
      <c r="E7" s="2" t="n">
        <v>67</v>
      </c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Berufskraftfahrer/in</t>
        </is>
      </c>
      <c r="B8" s="2" t="n">
        <v>104</v>
      </c>
      <c r="C8" s="2" t="n">
        <v>75</v>
      </c>
      <c r="D8" s="2" t="n"/>
      <c r="E8" s="2" t="n">
        <v>62</v>
      </c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Lager- und Transportarbeiter/in</t>
        </is>
      </c>
      <c r="B9" s="2" t="n">
        <v>77</v>
      </c>
      <c r="C9" s="2" t="n">
        <v>79</v>
      </c>
      <c r="D9" s="2" t="n"/>
      <c r="E9" s="2" t="n">
        <v>71</v>
      </c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Maschinen- und Anlagenführer/in (ohne Angabe des Schwerpunkts)</t>
        </is>
      </c>
      <c r="B10" s="2" t="n">
        <v>109</v>
      </c>
      <c r="C10" s="2" t="n">
        <v>64</v>
      </c>
      <c r="D10" s="2" t="n"/>
      <c r="E10" s="2" t="n">
        <v>46</v>
      </c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Helfer/in - Verkauf</t>
        </is>
      </c>
      <c r="B11" s="2" t="n">
        <v>71</v>
      </c>
      <c r="C11" s="2" t="n">
        <v>75</v>
      </c>
      <c r="D11" s="2" t="n"/>
      <c r="E11" s="2" t="n">
        <v>66</v>
      </c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Helfer/in - Metallbearbeitung</t>
        </is>
      </c>
      <c r="B12" s="2" t="n">
        <v>91</v>
      </c>
      <c r="C12" s="2" t="n">
        <v>70</v>
      </c>
      <c r="D12" s="2" t="n"/>
      <c r="E12" s="2" t="n">
        <v>47</v>
      </c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Erzieher/in</t>
        </is>
      </c>
      <c r="B13" s="2" t="n">
        <v>16</v>
      </c>
      <c r="C13" s="2" t="n">
        <v>81</v>
      </c>
      <c r="D13" s="2" t="n"/>
      <c r="E13" s="2" t="n">
        <v>109</v>
      </c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Altenpfleger/in</t>
        </is>
      </c>
      <c r="B14" s="2" t="n">
        <v>41</v>
      </c>
      <c r="C14" s="2" t="n">
        <v>88</v>
      </c>
      <c r="D14" s="2" t="n"/>
      <c r="E14" s="2" t="n">
        <v>73</v>
      </c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Zerspanungsmechaniker/in</t>
        </is>
      </c>
      <c r="B15" s="2" t="n">
        <v>112</v>
      </c>
      <c r="C15" s="2" t="n">
        <v>52</v>
      </c>
      <c r="D15" s="2" t="n"/>
      <c r="E15" s="2" t="n">
        <v>33</v>
      </c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62</v>
      </c>
      <c r="D16" s="2" t="n"/>
      <c r="E16" s="2" t="n">
        <v>81</v>
      </c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Filialleiter/in, Verkaufsstellenleiter/in</t>
        </is>
      </c>
      <c r="B17" s="2" t="n">
        <v>81</v>
      </c>
      <c r="C17" s="2" t="n">
        <v>45</v>
      </c>
      <c r="D17" s="2" t="n"/>
      <c r="E17" s="2" t="n">
        <v>35</v>
      </c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Mechatroniker/in</t>
        </is>
      </c>
      <c r="B18" s="2" t="n">
        <v>57</v>
      </c>
      <c r="C18" s="2" t="n">
        <v>50</v>
      </c>
      <c r="D18" s="2" t="n"/>
      <c r="E18" s="2" t="n">
        <v>52</v>
      </c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58</v>
      </c>
      <c r="C19" s="2" t="n">
        <v>52</v>
      </c>
      <c r="D19" s="2" t="n"/>
      <c r="E19" s="2" t="n">
        <v>44</v>
      </c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Fachlagerist/in</t>
        </is>
      </c>
      <c r="B20" s="2" t="n">
        <v>56</v>
      </c>
      <c r="C20" s="2" t="n">
        <v>44</v>
      </c>
      <c r="D20" s="2" t="n"/>
      <c r="E20" s="2" t="n">
        <v>44</v>
      </c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Gesundheits- und Krankenpfleger/in</t>
        </is>
      </c>
      <c r="B21" s="2" t="n">
        <v>36</v>
      </c>
      <c r="C21" s="2" t="n">
        <v>55</v>
      </c>
      <c r="D21" s="2" t="n"/>
      <c r="E21" s="2" t="n">
        <v>55</v>
      </c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Elektroniker/in - Energie- und Gebäudetechnik</t>
        </is>
      </c>
      <c r="B22" s="2" t="n">
        <v>35</v>
      </c>
      <c r="C22" s="2" t="n">
        <v>57</v>
      </c>
      <c r="D22" s="2" t="n"/>
      <c r="E22" s="2" t="n">
        <v>47</v>
      </c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Koch/Köchin</t>
        </is>
      </c>
      <c r="B23" s="2" t="n">
        <v>42</v>
      </c>
      <c r="C23" s="2" t="n">
        <v>41</v>
      </c>
      <c r="D23" s="2" t="n"/>
      <c r="E23" s="2" t="n">
        <v>49</v>
      </c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Anlagenmechaniker/in - Sanitär-, Heizungs- und Klimatechnik</t>
        </is>
      </c>
      <c r="B24" s="2" t="n">
        <v>39</v>
      </c>
      <c r="C24" s="2" t="n">
        <v>44</v>
      </c>
      <c r="D24" s="2" t="n"/>
      <c r="E24" s="2" t="n">
        <v>48</v>
      </c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Elektroniker/in - Betriebstechnik</t>
        </is>
      </c>
      <c r="B25" s="2" t="n">
        <v>44</v>
      </c>
      <c r="C25" s="2" t="n">
        <v>46</v>
      </c>
      <c r="D25" s="2" t="n"/>
      <c r="E25" s="2" t="n">
        <v>36</v>
      </c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Bürokaufmann/-frau</t>
        </is>
      </c>
      <c r="B26" s="2" t="n">
        <v>36</v>
      </c>
      <c r="C26" s="2" t="n">
        <v>46</v>
      </c>
      <c r="D26" s="2" t="n"/>
      <c r="E26" s="2" t="n">
        <v>48</v>
      </c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Medizinische/r Fachangestellte/r</t>
        </is>
      </c>
      <c r="B27" s="2" t="n">
        <v>41</v>
      </c>
      <c r="C27" s="2" t="n">
        <v>41</v>
      </c>
      <c r="D27" s="2" t="n"/>
      <c r="E27" s="2" t="n">
        <v>44</v>
      </c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22</v>
      </c>
      <c r="C28" s="2" t="n">
        <v>59</v>
      </c>
      <c r="D28" s="2" t="n"/>
      <c r="E28" s="2" t="n">
        <v>41</v>
      </c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34</v>
      </c>
      <c r="C29" s="2" t="n">
        <v>46</v>
      </c>
      <c r="D29" s="2" t="n"/>
      <c r="E29" s="2" t="n">
        <v>35</v>
      </c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Schweißer/in</t>
        </is>
      </c>
      <c r="B30" s="2" t="n">
        <v>61</v>
      </c>
      <c r="C30" s="2" t="n">
        <v>23</v>
      </c>
      <c r="D30" s="2" t="n"/>
      <c r="E30" s="2" t="n">
        <v>25</v>
      </c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Sozialarbeiter/in / Sozialpädagoge/-pädagogin</t>
        </is>
      </c>
      <c r="B31" s="2" t="n">
        <v>16</v>
      </c>
      <c r="C31" s="2" t="n">
        <v>42</v>
      </c>
      <c r="D31" s="2" t="n"/>
      <c r="E31" s="2" t="n">
        <v>54</v>
      </c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CNC-Dreher/in</t>
        </is>
      </c>
      <c r="B32" s="2" t="n">
        <v>30</v>
      </c>
      <c r="C32" s="2" t="n">
        <v>43</v>
      </c>
      <c r="D32" s="2" t="n"/>
      <c r="E32" s="2" t="n">
        <v>35</v>
      </c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Buchhalter/in</t>
        </is>
      </c>
      <c r="B33" s="2" t="n">
        <v>33</v>
      </c>
      <c r="C33" s="2" t="n">
        <v>33</v>
      </c>
      <c r="D33" s="2" t="n"/>
      <c r="E33" s="2" t="n">
        <v>39</v>
      </c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Kaufmännische Fachkraft</t>
        </is>
      </c>
      <c r="B34" s="2" t="n">
        <v>32</v>
      </c>
      <c r="C34" s="2" t="n">
        <v>39</v>
      </c>
      <c r="D34" s="2" t="n"/>
      <c r="E34" s="2" t="n">
        <v>34</v>
      </c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Kommissionierer/in</t>
        </is>
      </c>
      <c r="B35" s="2" t="n">
        <v>28</v>
      </c>
      <c r="C35" s="2" t="n">
        <v>41</v>
      </c>
      <c r="D35" s="2" t="n"/>
      <c r="E35" s="2" t="n">
        <v>34</v>
      </c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Pflegefachmann/-frau (Altenpflege)</t>
        </is>
      </c>
      <c r="B36" s="2" t="n">
        <v>36</v>
      </c>
      <c r="C36" s="2" t="n">
        <v>35</v>
      </c>
      <c r="D36" s="2" t="n"/>
      <c r="E36" s="2" t="n">
        <v>32</v>
      </c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IT-Systemadministrator/in</t>
        </is>
      </c>
      <c r="B37" s="2" t="n">
        <v>13</v>
      </c>
      <c r="C37" s="2" t="n">
        <v>22</v>
      </c>
      <c r="D37" s="2" t="n"/>
      <c r="E37" s="2" t="n">
        <v>66</v>
      </c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Industriekaufmann/-frau</t>
        </is>
      </c>
      <c r="B38" s="2" t="n">
        <v>31</v>
      </c>
      <c r="C38" s="2" t="n">
        <v>36</v>
      </c>
      <c r="D38" s="2" t="n"/>
      <c r="E38" s="2" t="n">
        <v>33</v>
      </c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Kaufmann/-frau - Büromanagement</t>
        </is>
      </c>
      <c r="B39" s="2" t="n">
        <v>26</v>
      </c>
      <c r="C39" s="2" t="n">
        <v>36</v>
      </c>
      <c r="D39" s="2" t="n"/>
      <c r="E39" s="2" t="n">
        <v>39</v>
      </c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Anlagenmechaniker/in</t>
        </is>
      </c>
      <c r="B40" s="2" t="n">
        <v>27</v>
      </c>
      <c r="C40" s="2" t="n">
        <v>39</v>
      </c>
      <c r="D40" s="2" t="n"/>
      <c r="E40" s="2" t="n">
        <v>32</v>
      </c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Altenpflegehelfer/in</t>
        </is>
      </c>
      <c r="B41" s="2" t="n">
        <v>35</v>
      </c>
      <c r="C41" s="2" t="n">
        <v>35</v>
      </c>
      <c r="D41" s="2" t="n"/>
      <c r="E41" s="2" t="n">
        <v>29</v>
      </c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46211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46211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46211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46211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46211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46211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46211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46211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46211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46211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46211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46211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46211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46211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46211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46211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46211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46211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46211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46211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46211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46211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46211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46211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46211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46211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46211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46211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46211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46211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46211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46211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46211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46211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46211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46211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46211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46211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46211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46211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46211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46211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46211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46211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46211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46211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46211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46211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46211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46211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46211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46211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46211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46211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46211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46211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46211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46211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46211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46211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46211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46211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46211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46211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46211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46211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46211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46211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46211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46211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46211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46211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46211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46211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46211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46211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46211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46211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46211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46211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46211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46211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46211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46211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46211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46211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46211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46211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46211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46211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46211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46211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46211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46211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46211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46211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46211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46211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46211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46211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46211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46211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46211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46211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46211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46211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46211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46211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46211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46211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46211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46211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46211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46211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46211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46211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46211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46211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46211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46211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46211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46211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46211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46211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46211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46211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46211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46211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46211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46211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46211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46211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46211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46211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46211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46211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46211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46211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46211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46211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46211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46211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46211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46211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46211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46211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46211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46211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46211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46211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46211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46211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46211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46211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46211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46211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46211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46211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46211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46211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46211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46211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46211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46211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46211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46211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46211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46211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46211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46211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46211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46211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46211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46211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46211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46211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46211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46211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46211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46211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46211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46211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46211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46211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46211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46211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46211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46211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46211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46211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46211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46211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46211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46211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46211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46211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46211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46211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46211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46211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46211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46211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46211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46211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46211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46211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46211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46211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46211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46211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46211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46211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46211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46211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46211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46211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46211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46211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46211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46211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46211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46211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46211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46211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46211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46211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46211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46211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46211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46211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46211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46211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46211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46211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46211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46211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46211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46211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46211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46211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46211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46211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46211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46211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46211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46211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46211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46211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46211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46211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46211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46211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46211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46211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46211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46211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46211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46211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46211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46211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46211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46211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46211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46211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46211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46211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46211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46211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46211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46211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46211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46211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46211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46211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46211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46211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46211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46211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46211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46211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46211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46211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46211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46211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46211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46211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46211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46211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46211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46211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46211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46211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46211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46211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46211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46211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46211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46211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46211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46211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46211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46211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46211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46211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46211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46211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46211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46211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46211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46211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46211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46211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46211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46211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46211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46211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46211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46211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46211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46211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46211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46211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46211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46211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46211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46211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46211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46211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46211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46211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46211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46211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46211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46211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46211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46211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46211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46211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46211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46211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46211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46211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46211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46211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46211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46211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46211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46211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46211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46211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46211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46211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46211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46211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46211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46211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46211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46211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46211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46211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46211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46211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46211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46211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46211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46211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46211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46211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46211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46211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46211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46211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46211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46211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46211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46211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46211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46211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46211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46211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46211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46211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46211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46211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46211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46211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46211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46211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46211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46211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46211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46211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46211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46211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46211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46211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46211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46211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46211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46211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46211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46211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46211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46211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46211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46211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46211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46211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46211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46211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46211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46211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46211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46211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46211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46211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46211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46211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46211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46211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46211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46211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46211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46211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46211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46211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46211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46211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46211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46211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46211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46211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46211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46211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46211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46211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46211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46211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46211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46211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46211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46211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46211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46211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46211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46211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46211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46211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46211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46211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46211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46211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46211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46211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46211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46211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46211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46211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46211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46211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46211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46211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46211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46211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46211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46211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46211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46211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46211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46211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46211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46211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46211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46211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46211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46211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46211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46211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46211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46211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46211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46211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46211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46211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46211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46211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46211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46211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46211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46211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46211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46211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46211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46211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46211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46211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46211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46211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46211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46211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46211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46211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46211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46211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46211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46211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46211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46211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46211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46211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46211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46211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46211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46211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46211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46211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46211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46211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46211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46211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46211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46211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46211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46211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46211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46211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46211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46211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46211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46211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46211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46211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46211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46211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46211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46211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46211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46211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46211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46211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46211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46211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46211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46211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46211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46211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46211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46211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46211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46211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46211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46211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46211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46211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46211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46211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46211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46211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46211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46211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46211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46211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46211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46211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46211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46211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46211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46211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46211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46211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46211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46211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46211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46211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46211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46211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46211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46211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46211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46211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46211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46211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46211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46211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46211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46211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46211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46211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46211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46211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46211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46211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46211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46211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46211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46211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46211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46211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46211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46211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46211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46211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46211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46211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46211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46211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46211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46211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46211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46211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46211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46211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46211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46211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46211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46211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46211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46211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46211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46211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46211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46211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46211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46211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46211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46211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46211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46211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46211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46211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46211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46211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46211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46211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46211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46211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46211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46211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46211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46211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46211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46211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46211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46211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46211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46211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46211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46211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46211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46211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46211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46211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46211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46211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46211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46211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46211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46211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46211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46211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46211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46211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46211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46211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46211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46211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46211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46211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46211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46211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46211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46211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46211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46211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46211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46211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46211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46211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46211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46211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46211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46211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46211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46211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46211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46211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46211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46211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46211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46211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46211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46211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46211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46211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46211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46211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46211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46211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46211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46211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46211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46211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46211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46211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46211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46211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46211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46211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46211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46211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46211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46211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46211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46211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46211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46211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46211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46211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46211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46211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46211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46211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46211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46211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46211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46211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46211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46211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46211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46211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46211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46211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46211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46211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46211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46211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46211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46211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46211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46211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46211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46211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46211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46211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46211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46211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46211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46211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46211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46211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46211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46211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46211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46211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46211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46211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46211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46211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46211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46211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46211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46211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46211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46211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46211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46211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46211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46211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46211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46211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46211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46211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46211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46211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46211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46211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46211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46211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46211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46211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46211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46211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46211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46211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46211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46211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46211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46211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46211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46211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46211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46211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46211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46211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46211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46211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46211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46211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46211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46211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46211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46211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46211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46211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46211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46211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46211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46211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46211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46211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46211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46211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46211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46211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46211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46211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46211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46211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46211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46211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46211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46211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46211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46211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46211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46211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46211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46211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46211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46211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46211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46211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46211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46211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46211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46211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46211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46211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46211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46211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46211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46211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46211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46211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46211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46211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46211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46211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46211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46211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46211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46211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46211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46211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46211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46211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46211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46211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46211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46211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46211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46211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46211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46211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46211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46211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46211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46211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46211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46211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46211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46211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46211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46211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46211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46211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46211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46211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46211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46211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46211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46211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46211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46211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46211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46211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46211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46211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46211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46211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46211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46211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46211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46211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46211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46211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46211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46211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46211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46211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46211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46211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46211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46211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46211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46211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46211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46211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46211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46211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46211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46211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46211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46211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46211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46211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46211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46211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46211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46211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46211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46211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46211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46211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46211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46211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46211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46211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46211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46211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46211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46211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46211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46211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46211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46211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46211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46211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46211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46211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46211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46211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46211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46211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46211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46211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46211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46211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46211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46211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46211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46211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46211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46211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46211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46211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46211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46211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46211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46211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46211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46211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46211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46211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46211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46211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46211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46211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46211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46211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46211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46211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46211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46211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46211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46211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46211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46211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46211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46211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46211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46211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46211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46211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46211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46211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46211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46211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46211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46211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46211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46211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46211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46211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46211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46211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46211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46211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46211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46211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46211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46211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46211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46211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46211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46211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46211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46211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46211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46211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46211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46211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46211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46211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46211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46211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46211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46211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46211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46211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46211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46211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46211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46211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46211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46211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46211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46211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46211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46211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46211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46211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46211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46211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46211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46211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46211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46211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46211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46211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46211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46211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46211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46211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46211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46211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46211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46211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46211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46211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46211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46211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46211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46211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46211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46211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46211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46211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46211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46211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46211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46211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46211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46211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46211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46211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46211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46211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46211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46211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46211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46211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46211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46211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46211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46211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46211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46211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46211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46211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46211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46211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46211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46211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46211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46211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46211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46211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46211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46211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46211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46211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46211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46211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46211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46211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46211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46211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46211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46211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46211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46211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46211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46211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46211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46211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46211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46211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46211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46211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46211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46211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46211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46211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46211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46211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46211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46211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46211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46211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46211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46211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46211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46211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46211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46211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46211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46211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46211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46211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46211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46211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46211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46210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46211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46211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46211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46211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46211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46211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46211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46211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46211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46211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46211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46211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46211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46211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46211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46211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46211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46211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46211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46211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46211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46211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46211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46211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46211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46211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46211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46211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46211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46211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46211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46211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46211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46211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46211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46211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46211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46211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46211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46211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46211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46211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46211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46211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46211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46211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46211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46211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46211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46211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46211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46211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46211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46211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46211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46211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46211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46211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46211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46211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46211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46211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46211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46211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46211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46211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46211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46211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46211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46211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46211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46211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46211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46211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46211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46211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46211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46211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46211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46211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46211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46211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46211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46211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46211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46211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46211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46211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46211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46211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46211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46211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46211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46211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46211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46211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46211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46211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46211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46211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46211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46211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46211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46211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46211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46211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46211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46211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46211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46211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46211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46211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46211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46211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46211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46211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46211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46211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46211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46211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46211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46211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46211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46211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46211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46211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46211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46211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46211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46211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46211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46211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46211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46211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46211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46211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46211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46211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46211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46211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46211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46211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46211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46211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46211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46211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46211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46211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46211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46211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46211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46211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46211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46211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46211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46211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46211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46211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46211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46211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46211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46211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46211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46211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46211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46211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46211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46211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46211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46211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46211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46211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46211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46211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46211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46211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46211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46211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46211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46211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46211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46211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46211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46211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46211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46211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46211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46211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46211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46211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46211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46211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46211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46211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46211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46211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46211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46211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46211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46211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46211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46211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46211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46211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46211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46211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46211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46211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46211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46211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46211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46211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46211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46211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46211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46211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46211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46211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46211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46211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46211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46211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46211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46211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46211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46211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46211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46211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46211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46211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46211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46211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46211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46211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46211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46211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46211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46211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46211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46211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46211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46211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46211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46211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46211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46211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46211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46211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46211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46211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46211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46211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46211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46211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46211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46211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46211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46211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46211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46211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46211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46211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46211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46211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46211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46211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46211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46211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46211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46211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46211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46211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46211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46211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46211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46211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46211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46211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46211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46211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46211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46211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46211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46211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46211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46211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46211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46211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46211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46211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46211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46211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46211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46211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46211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46211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46211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46211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46211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46211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46211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46211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46211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46211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46211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46211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46211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46211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46211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46211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46211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46211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46211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46211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46211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46211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46211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46211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46211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46211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46211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46211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46211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46211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46211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46211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46211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46211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46211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46211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46211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46211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46211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46211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46211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46211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46211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46211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46211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46211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46211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46211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46211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46211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46211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46211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46211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46211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46211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46211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46211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46211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46211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46211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46211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46211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46211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46211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46211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46211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46211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46211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46211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46211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46211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46211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46211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46211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46211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46211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46211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46211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46211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46211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46211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46211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46211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46211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46211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46211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46211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46211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46211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46211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46211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46211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46211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46211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46211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46211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46211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46211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46211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46211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46211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46211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46211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46211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46211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46211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46211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46211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46211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46211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46211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46211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46211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46211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46211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46211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46211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46211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46211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46211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46211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46211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46211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46211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46211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46211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46211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46211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46211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46211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46211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46211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46211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46211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46211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46211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46211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46211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46211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46211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46211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46211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46211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46211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46211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46211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46211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46211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46211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46211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46211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46211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46211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46211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46211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46211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46211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46211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46211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46211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46211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46211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46211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46211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46211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46211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46211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46211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46211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46211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46211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46211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46211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46211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46211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46211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46211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46211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46211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46211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46211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46211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46211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46211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46211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46211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46211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46211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46211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46211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46211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46211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46211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46211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46211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46211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46211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46211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46211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46211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46211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46211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46211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46211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46211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46211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46211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46211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46211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46211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46211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46211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46211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46211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46211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46211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46211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46211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46211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46211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46211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46211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46211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46211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46211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46211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46211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46211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46211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46211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46211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46211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46211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46211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46211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46211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46211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46211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46211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46211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46211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46211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46211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46211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46211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46211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46211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46211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46211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46211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46211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46211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46211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46211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46211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46211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46211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46211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46211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46211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46211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46211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46211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46211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46211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46211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46211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46211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46211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46211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46211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46211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46211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46211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46211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46211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46211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46211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46211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46211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46211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46211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46211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46211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46211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46211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46211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46211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46211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46211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46211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46211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46211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46211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46211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46211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46211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46211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46211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46211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46211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46211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46211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46211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46211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46211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46211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46211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46211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46211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46211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46211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46211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46211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46211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46211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46211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46211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46211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46211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46211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46211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46211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46211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46211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46211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46211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46211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46211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46211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46211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46211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46211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46211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46211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46211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46211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46211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46211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46211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46211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46211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46211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46211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46211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46211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46211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46211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46211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46211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46211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46211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46211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46211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46211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46211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46211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46211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46211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46211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46211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46211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46211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46211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46211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46211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46211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46211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46211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46211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46211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46211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46211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46211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46211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46211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46211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46211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46211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46211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46211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46211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46211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46211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46211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46211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46211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46211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46211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46211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46211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46211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46211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46211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46211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46211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46211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46211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46211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46211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46211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46211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46211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46211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46211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46211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46211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46211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46211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46211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46211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46211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46211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46211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46211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46211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46211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46211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46211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46211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46211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46211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46211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46211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46211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46211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46211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46211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46211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46211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46211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46211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46211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46211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46211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46211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46211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46211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46211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46211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46211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46211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46211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46211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46211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46211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46211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46211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46211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46211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46211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46211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46211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46211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46211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46211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46211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46211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46211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46211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46211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46211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46211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46211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46211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46211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46211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46211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46211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46211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46211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46211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46211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46211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46211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46211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46211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46211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46211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46211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46211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46211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46211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46211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46211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46211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46211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46211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46211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46211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46211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46211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46211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46211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46211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46211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46211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46211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46211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46211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46211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46211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46211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46211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46211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46211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46211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46211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46211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46211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46211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46211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46211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46211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46211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46211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46211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46211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46211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46211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46211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46211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46211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46211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46211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46211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46211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46211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46211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46211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46211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46211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46211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46211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46211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46211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46211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46211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46211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46211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46211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46211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46211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46211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46211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46211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46211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46211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46211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46211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46211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46211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46211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46211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46211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46211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46211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46211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46211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46211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46211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46211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46211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46211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46211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46211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46211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46211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46211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46211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46211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46211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46211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46211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46211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46211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46211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46211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46211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46211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46211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46211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46211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46211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46211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46211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46211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46211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46211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46211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46211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46211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46211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46211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46211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46211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46211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46211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46211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46211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46211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46211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46211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46211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46211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46211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46211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46211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46211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46211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46211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46211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46211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46211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46211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46211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46211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46211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46211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46211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46211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46211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46211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46211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46211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46211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46211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46211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46211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46211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46211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46211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46211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46211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46211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46211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46211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46211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46211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46211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46211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46211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46211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46211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46211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46211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46211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46211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46211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46211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46211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46211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46211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46211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46211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46211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46211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46211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46211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46211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46211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46211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46211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46211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46211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46211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46211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46211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46211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46211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46211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46211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46211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46211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46211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46211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46211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46211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46211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46211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46211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46211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46211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46211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46211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46211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46211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46211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46211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46211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46211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46211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46211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46211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46211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46211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46211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46211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46211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46211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46211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46211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46211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46211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46211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46211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46211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46211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46211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46211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46211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46211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46211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46211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46211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46211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46211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46211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46211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46211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46211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46211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46211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46211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46211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46211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46211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46211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46211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46211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46211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46211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46211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46211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46211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46211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46211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46211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46211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46211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46211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46211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46211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46211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46211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46211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46211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46211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46211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46211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46211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46211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46211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46211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46211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46211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46211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46211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46211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46211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46211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46211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46211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46211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46211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46211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46211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46211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46211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46211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46211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46211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46211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46211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46211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46211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46211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46211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46211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46211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46211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46211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46211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46211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46211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46211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46211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46211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46211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46211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46211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46211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46211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46211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46211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46211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46211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46211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46211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46211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46211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46211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46211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46211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46211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46211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46211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46211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46211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46211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46211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46211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46211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46211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46211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46211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46211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46211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46211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46211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46211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46211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46211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46211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46211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46211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46211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46211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46211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46211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46211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46211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46211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46211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46211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46211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46211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46211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46211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46211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46211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46211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46211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46211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46211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46211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46211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46211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46211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46211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46211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46211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46211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46211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46211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46211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46211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46211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46211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46211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46211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46211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46211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46211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46211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46211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46211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46211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46211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46211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46211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46211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46211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46211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46211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46211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46211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46211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46211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46211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46211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46211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46211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46211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46211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46211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46211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46211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46211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46211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46211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46211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46211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46211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46211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46211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46211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46211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46211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46211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46211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46211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46211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46211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46211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46211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46211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46211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46211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46211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46211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46211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46211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46211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46211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46211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46211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46211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46211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46211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46211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46211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46211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46211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46211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46211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46211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46211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46211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46211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46211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46211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46211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46211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46211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46211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46211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46211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46211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46211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46211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46211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46211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46211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46211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46211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46211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46211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46211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46211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46211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46211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46211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46211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46211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46211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46211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46211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46211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46211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46211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46211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46211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46211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46211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46211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46211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46211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46211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46211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46211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46211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46211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46211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46211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46211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46211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46211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46211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46211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46211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46211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46211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46211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46211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46211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46211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46211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46211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46211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46211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46211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46211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46211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46211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46211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46211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46211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46211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46211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46211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46211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46211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46211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46211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46211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46211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46211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46211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46211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46211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46211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46211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46211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46211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46211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46211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46211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46211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46211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46211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46211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46211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46211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46211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46211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46211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46211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46211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46211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46211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46211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46211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46211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46211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46211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46211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46211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46211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46211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46211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46211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46211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46211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46211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46211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46211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46211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46211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46211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46211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46211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46211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46211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46211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46211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46211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46211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46211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46211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46211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46211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46211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46211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46211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46211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46211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46211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46211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46211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46211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46211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46211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46211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46211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46211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46211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46211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46211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46211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46211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46211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46211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46211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46211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46211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46211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46211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46211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46211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46211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46211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46211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46211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46211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46211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46211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46211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46211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46211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46211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46211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46211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46211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46211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46211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46211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46211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46211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46211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46211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46211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46211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46211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46211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46211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46211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46211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46211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46211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46211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46211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46211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46211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46211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46211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46211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46211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46211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46211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46211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46211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46211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46211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46211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46211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46211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46211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46211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46211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46211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46211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46211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46211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46211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46211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46211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46211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46211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46211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46211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46211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46211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46211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46211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46211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46211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46211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46211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46211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46211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46211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46211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46211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46211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46211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46211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46211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46211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46211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46211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46211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46211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46211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46211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46211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46211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46211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46211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46211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46211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46211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46211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46211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46211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46211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46211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46211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46211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46211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46211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46211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46211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46211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46211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46211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46211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46211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46211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46211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46211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46211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46211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46211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46211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46211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46211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46211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46211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46211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46211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46211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46211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46211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46211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46211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46211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46211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46211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46211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46211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46211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46211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46211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46211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46211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46211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46211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46211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46211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46211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46211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46211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46211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46211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46211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46211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46211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46211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46211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46211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46211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46211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46211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46211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46211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46211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46211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46211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46211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46211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46211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46211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46211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46211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46211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46211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46211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46211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46211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46211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46211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46211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46211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46211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46211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46211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46211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46211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46211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46211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46211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46211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46211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46211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46211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46211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46211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46211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46211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46211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46211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46211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46211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46211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46211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46211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46211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46211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46211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46211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46211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46211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46211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46211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46211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46211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46211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46211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46211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46211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46211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46211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46211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46211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46211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46211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46211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46211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46211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46211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46211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46211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46211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46211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46211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46211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46211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46211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46211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46211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46211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46211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46211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46211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46211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46211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46211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46211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46211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46211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46211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46211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46211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46211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46211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46211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46211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46211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46211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46211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46211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46211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46211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46211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46211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46211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46211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46211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46211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46211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46211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46211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46211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46211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46211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46211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46211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46211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46211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46211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46211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46211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46211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46211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46211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46211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46211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46211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46211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46211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46211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46211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46211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46211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46211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46211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46211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46211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46211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46211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46211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46211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46211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46211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46211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46211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46211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46211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46211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46211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46211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46211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46211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46211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46211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46211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46211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46211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46211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46211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46211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46211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46211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46211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46211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46211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46211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46211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46211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46211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46211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46211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46211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46211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46211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46211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46211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46211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46211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46211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46211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46211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46211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46211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46211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46211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46211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46211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46211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46211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46211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46211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46211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46211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46211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46211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46211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46211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46211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46211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46211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46211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46211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46211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46211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46211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46211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46211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46211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46211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46211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46211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46211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46211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46211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46211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46211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46211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46211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46211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46211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46211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46211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46211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46211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46211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46211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46211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46211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46211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46211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46211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46211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46211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46211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46211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46211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46211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46211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46211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46211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46211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46211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46211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46211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46211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46211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46211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46211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46211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46211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46211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46211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46211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46211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46211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46211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46211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46211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46211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46211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46211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46211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46211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46211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46211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46211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46211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46211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46211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46211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46211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46211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46211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46211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46211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46211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46211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46211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46211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46211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46211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46211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46211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46211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46211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46211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46211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46211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46211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46211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46211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46211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46211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46211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46211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46211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46211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46211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46211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46211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46211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46211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46211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46211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46211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46211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46211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46211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46211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46211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46211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46211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46211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46211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46211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46211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46211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46211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46211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46211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46211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46211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46211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46211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46211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46211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46211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46211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46211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46211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46211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46211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46211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46211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46211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46211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46211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46211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46211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46211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46211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46211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46211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46211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46211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46211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46211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46211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46211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46211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46211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46211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46211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46211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46211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46211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46211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46211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46211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46211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46211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46211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46211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46211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46211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46211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46211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46211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46211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46211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46211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46211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46211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46211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46211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46211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46211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46211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46211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46211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46211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46211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46211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46211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46211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46211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46211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46211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46211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46211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46211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46211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46211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46211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46211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46211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46211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46211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46211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46211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46211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46211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46211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46211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46211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46211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46211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46211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46211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46211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46211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46211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46211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46211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46211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46211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46211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46211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46211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46211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46211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46211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46211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46211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46211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46211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46211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46211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46211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46211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46211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46211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46211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46211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46211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46211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46211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46211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46211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46211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46211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46211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46211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46211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46211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46211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46211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46211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46211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46211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46211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46211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46211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46211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46211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46211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46211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46211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46211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46211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46211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46211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46211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46211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46211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46211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46211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46211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46211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46211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46211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46211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46211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46211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46211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46211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46211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46211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46211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46211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46211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46211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46211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46211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46211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46211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46211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46211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46211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46211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46211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46211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46211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46211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46211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46211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46211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46211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46211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46211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46211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46211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46211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46211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46211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46211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46211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46211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46211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46211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46211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46211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46211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46211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46211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46211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46211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46211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46211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46211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46211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46211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46211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46211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46211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46211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46211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46211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46211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46211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46211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46211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46211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46211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46211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46211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46211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46211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46211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46211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46211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46211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46211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46211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46211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46211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46211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46211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46211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46211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46211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46211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46211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46211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46211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46211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46211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46211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46211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46211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46211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46211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46211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46211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46211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46211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46211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46211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46211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46211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46211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46211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46211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46211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46211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46211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46211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46211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46211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46211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46211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46211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46211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46211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46211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46211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46211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46211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46211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46211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46211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46211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46211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46211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46211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46211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46211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46211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46211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46211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46211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46211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46211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46211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46211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46211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46211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46211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46211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46211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46211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46211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46211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46211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46211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46211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46211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46211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46211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46211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46211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46211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46211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46211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46211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46211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46211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46211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46211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46211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46211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46211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46211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46211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46211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46211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46211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46211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46211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46211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46211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46211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46211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46211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46211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46211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46211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46211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46211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46211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46211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46211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46211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46211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46211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46211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46211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46211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46211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46211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46211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46211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46211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46211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46211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46211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46211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46211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46211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46211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46211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46211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46211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46211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46211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46211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46211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46211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46211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46211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46211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46211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46211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46211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46211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46211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46211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46211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46211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46211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46211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46211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46211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46211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46211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46211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46211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46211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46211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46211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46211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46211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46211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46211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46211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46211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46211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46211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46211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46211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46211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46211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46211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46211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46211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46211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46211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46211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46211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46211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46211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46211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46211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46211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46211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46211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46211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46211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46211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46211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46211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46211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46211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46211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46211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46211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46211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46211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46211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46211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46211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46211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46211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46211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46211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46211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46211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46211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46211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46211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46211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46211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46211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46211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46211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46211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46211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46211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46211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46211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46211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46211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46211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46211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46211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46211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46211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46211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46211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46211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46211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46211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46211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46211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46211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46211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46211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46211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46211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46211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46211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46211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46211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46211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46211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46211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46211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46211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46211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46211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46211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46211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46211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46211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46211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46211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46211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46211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46211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46211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46211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46211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46211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46211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46211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46211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46211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46211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46211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46211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46211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46211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46211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46211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46211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46211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46211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46211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46211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46211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46211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46211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46211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46211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46211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46211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46211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46211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46211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46211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46211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46211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46211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46211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46211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46211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46211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46211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46211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46211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46211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46211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46211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46211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46211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46211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46211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46211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46211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46211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46211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46211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46211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46211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46211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46211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46211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46211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46211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46211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46211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46211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46211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46211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46211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46211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46211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46211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46211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46211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46211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46211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46211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46211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46211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46211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46211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46211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46211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46211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46211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46211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46211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46211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46211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46211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46211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46211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46211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46211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46211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46211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46211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46211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46211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46211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46211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46211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46211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46211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46211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46211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46211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46211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46211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46211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46211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46211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46211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46211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46211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46211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46211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46211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46211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46211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46211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46211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46211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46211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46211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46211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46211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46211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46211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46211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46211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46211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46211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46211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46211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46211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46211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46211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46211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46211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46211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46211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46211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46211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46211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46211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46211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46211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46211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46211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46211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46211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46211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46211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46211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46211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46211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46211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46211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46211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46211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46211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46211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46211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46211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46211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46211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46211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46211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46211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46211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46211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46211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46211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46211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46211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46211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46211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46211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46211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46211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46211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46211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46211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46211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46211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46211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46211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46211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46211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46211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46211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46211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46211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46211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46211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46211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46211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46211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46211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46211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46211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46211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46211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46211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46211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46211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46211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46211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46211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46211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46211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46211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46211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46211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46211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46211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46211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46211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46211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46211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46211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46211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46211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46211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46211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46211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46211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46211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46211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46211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46211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46211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46211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46211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46211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46211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46211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46211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46211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46211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46211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46211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46211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46211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46211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46211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46211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46211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46211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46211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46211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46211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46211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46211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46211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46211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46211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46211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46211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46211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46211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46211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46211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46211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46211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46211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46211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46211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46211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46211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46211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46211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46211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46211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46211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46211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46211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46211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46211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46211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46211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46211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46211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46211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46211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46211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46211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46211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46211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46211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46211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46211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46211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46211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46211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46211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46211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46211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46211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46211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46211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46211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46211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46211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46211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46211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46211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46211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46211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46211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46211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46211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46211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46211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46211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46211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46211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46211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46211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46211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46211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46211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46211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46211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46211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46211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46211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46211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46211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46211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46211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46211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46211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46211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46211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46211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46211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46211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46211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46211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46211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46211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46211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46211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46211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46211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46211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46211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46211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46211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46211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46211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46211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46211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46211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46211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46211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46211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46211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46211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46211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46211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46211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46211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46211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46211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46211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46211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46211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46211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46211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46211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46211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46211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46211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46211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46211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46211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46211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46211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46211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46211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46211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46211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46211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46211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46211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46211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46211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46211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46211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46211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46211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46211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46211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46211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46211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46211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46211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46211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46211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46211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46211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46211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46211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46211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46211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46211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46211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46211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46211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46211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46211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46211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46211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46211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46211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46211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46211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46211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46211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46211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46211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46211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46211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46211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46211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46211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46211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46211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46211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46211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46211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46211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46211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46211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46211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46211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46211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46211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46211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46211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46211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46211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46211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46211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46211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46211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46211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46211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46211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46211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46211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46211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46211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46211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46211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46211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46211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46211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46211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46211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46211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46211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46211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46211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46211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46211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46211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46211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46211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46211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46211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46211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46211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46211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46211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46211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46211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46211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46211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46211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46211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46211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46211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46211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46211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46211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46211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46211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46211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46211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46211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46211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46211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46211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46211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46211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46211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46211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46211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46211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46211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46211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46211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46211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46211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46211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46211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46211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46211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46211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46211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46211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46211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46211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46211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46211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46211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46211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46211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46211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46211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46211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46211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46211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46211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46211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46211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46211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46211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46211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46211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46211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46211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46211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46211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46211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46211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46211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46211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46211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46211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46211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46211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46211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46211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46211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46211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46211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46211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46211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46211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46211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46211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46211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46211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46211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46211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46211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46211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46211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46211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46211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46211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46211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46211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46211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46211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46211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46211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46211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46211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46211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46211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46211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46211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46211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46211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46211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46211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46211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46211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46211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46211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46211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46211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46211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46211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46211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46211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46211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46211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46211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46211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46211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46211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46211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46211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46211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46211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46211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46211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46211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46211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46211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46211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46211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46211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46211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46211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46211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46211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46211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46211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46211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46211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46211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46211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46211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46211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46211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46211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46211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46211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46211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46211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46211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46211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46211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46211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46211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46211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46211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46211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46211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46211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46211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46211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46211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46211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46211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46211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46211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46211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46211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46211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46211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46211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46211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46211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46211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46211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46211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46211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46211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46211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46211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46211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46211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46211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46211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46211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46211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46211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46211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46211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46211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46211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46211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46211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46211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46211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46211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46211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46211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46211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46211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46211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46211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46211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46211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46211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46211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46211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46211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46211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46211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46211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46211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46211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46211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46211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46211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46211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46211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46211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46211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46211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46210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46211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46211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46211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46211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46211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46211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46210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46211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46211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46211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46211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46211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46211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46211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46211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46211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46211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46211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46211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46211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46211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46211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46211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46211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46211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46211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46211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46211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46211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46211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46211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46211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46211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46211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46211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46211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46211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46211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46211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46211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46211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46211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46211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46211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46211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46211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46211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46211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46211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46211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46211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46211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46211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46211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46211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46211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46211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46211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46211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46211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46211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46211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46211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46211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46211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46211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46211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46211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46211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46211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46211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46211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46211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46211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46211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46211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46211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46211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46211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46211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46211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46211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46211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46211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46211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46211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46211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46211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46211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46211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46211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46211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46211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46211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46211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46211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46211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46211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46211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46211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46211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46211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46211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46211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46211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46211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46211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46211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46211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46211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46211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46211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46211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46211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46211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46211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46211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46211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46211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46211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46211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46211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46211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46211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46211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46211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46211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46211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46211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46211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46211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46211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46211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46211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46211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46211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46211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46211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46211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46211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46211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46211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46211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46211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46211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46211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46211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46211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46211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46211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46211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46211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46211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46211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46211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46211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46211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46211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46211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46211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46211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46211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46211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46211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46211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46211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46211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46211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46211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46211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46211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46211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46211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46211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46211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46211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46211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46211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46211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46211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46211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46211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46211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46211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46211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46211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46211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46211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46211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46211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46211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46211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46211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46211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46211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46211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46211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46211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46211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46211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46211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46211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46211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46211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46211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46211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46211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46211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46211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46211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46211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46211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46211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46211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46211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46211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46211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46211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46211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46211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46211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46211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46211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46211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46211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46211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46211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46211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46211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46211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46211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46211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46211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46211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46211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46211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46209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46211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46211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46211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46211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46211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46211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46211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46211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46211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46211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46211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46211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46211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46211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46211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46211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46211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46211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46211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46211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46211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46211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46211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46211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46211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46211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46211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46211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46211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46211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46211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46211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46211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46211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46211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46211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46211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46211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46211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46211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46211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46211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46211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46211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46211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46211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46211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46211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46211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46211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46211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46211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46209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46210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46211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46211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46211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46211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46211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46211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46211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46211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46211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46211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46211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46211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46211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46211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46211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46211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46211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46211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46211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46211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46211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46211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46211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46211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46211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46211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46211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46211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46211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46211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46211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46211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46211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46211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46211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46211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46211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46211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46211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46211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46211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46211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46211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46211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46211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46211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46211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46211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46211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46211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46211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46211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46211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46211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46211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46211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46211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46211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46211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46211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46211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46211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46211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46211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46211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46211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46211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46211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46211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46211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46211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46211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46211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46211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46211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46211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46211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46211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46211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46211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46211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46211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46211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46211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46211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46211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46211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46211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46211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46211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46211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46211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46211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46211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46211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46211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46211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46211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46211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46211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46211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46211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46211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46211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46211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46211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46211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46211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46211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46211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46211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46211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46211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46211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46211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46211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46211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46211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46211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46211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46211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46211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46211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46211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46211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46211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46211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46211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46211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46211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46211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46211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46211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46211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46211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46211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46211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46211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46211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46211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46211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46211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46211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46211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46211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46211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46211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46211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46211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46211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46211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46211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46211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46211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46211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46211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46211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46211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46211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46211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46211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46211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46211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46211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46211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46211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46211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46211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46211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46211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46211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46211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46211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46211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46211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46211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46211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46211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46211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46211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46211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46211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46211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46211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46211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46211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46211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46211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46211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46211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46211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46211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46211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46211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46211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46211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46211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46211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46211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46211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46211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46211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46211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46211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46211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46211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46211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46211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46211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46211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46211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46211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46211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46211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46211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46211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46211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46211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46211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46211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46211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46211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46211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46211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46211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46211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46211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46211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46211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46211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46211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46211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46211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46211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46211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46211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46211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46211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46211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46211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46211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46211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46211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46211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46211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46211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46211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46211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46211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46211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46211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46211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46211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46211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46211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46211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46211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46211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46211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46211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46211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46211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46211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46211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46211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46211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46211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46211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46211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46211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46211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46211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46211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46211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46211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46211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46211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46211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46211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46211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46211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46211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46211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46211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46211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46211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46211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46211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46211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46211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46211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46211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46211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46211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46211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46211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46211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46211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46211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46211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46211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46211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46211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46211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46211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46211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46211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46211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46211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46211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46211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46211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46211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46211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46211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46211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46211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46211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46211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46211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46211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46211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46211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46211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46211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46211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46211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46211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46211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46211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46211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46211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46211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46211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46211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46211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46211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46211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46211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46211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46211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46211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46211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46211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46211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46211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46211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46211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46211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46211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46211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46211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46211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46211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46211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46211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46211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46211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46211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46211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46211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46211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46211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46211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46211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46211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46211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46211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46211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46211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46211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46211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46211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46211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46211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46211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46211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46211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46211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46211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46211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46211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46211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46211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46211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46211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46211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46211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46211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46211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46211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46211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46211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46211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46211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46211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46211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46211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46211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46211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46211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46211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46211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46211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46211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46211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46211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46211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46211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46211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46211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46211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46211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46211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46211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46211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46211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46211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46211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46211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46211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46211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46211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46211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46211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46211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46211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46211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46211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46211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46211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46211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46211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46211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46211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46211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46211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46211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46211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46211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46211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46211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46211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46211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46211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46211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46211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46211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46211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46211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46211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46211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46211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46211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46211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46211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46211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46211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46211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46211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46211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46211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46211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46211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46211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46211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46211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46211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46211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46211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46211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46211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46211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46211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46211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46211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46211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46211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46211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46211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46211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46211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46211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46211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46211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46211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46211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46211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46211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46211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46211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46211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46211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46211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46211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46211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46211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46211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46211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46211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46211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46211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46211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46211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46211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46211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46211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46211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46211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46211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46211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46211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46211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46211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46211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46211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46211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46211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46211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46211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46211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46211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46211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46211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46211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46211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46211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46211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46211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46211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46211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46211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46211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46211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46211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46211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46211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46211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46211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46211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46211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46211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46211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46211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46211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46211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46211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46211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46211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46211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46211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46211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46211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46211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46211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46211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46211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46211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46211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46211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46211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46211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46211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46211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46211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46211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46211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46211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46211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46211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46211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46211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46211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46211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46211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46211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46211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46211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46211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46211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46211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46211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46211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46211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46211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46211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46211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46211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46211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46211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46211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46211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46211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46211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46211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46211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46211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46211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46211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46211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46211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46211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46211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46211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46211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46211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46211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46211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46211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46211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46211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46211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46211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46211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46211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46211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46211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46211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46211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46211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46211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46211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46211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46211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46211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46211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46211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46211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46211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46211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46211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46211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46211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46211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46211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46211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46211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46211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46211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46211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46211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46211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46211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46211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46211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46211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46211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46211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46211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46211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46211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46211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46211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46211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46211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46211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46211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46211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46211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46211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46211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46211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46211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46211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46211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46211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46211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46211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46211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46211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46211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46211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46211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46211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46211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46211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46211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46211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46211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46211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46211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46211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46211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46211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46211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46211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46211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46211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46211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46211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46211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46211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46211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46211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46211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46211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46211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46211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46211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46211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46211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46211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46211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46211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46211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46211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46211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46211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46211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46211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46211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46211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46211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46211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46211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46211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46211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46211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46211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46211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46211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46211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46211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46211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46211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46211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46211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46211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46211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46211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46211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46211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46211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46211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46211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46211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46211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46211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46211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46211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46211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46211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46211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46211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46211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46211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46211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46211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46211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46211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46211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46211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46211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46211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46211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46211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46211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46211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46211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46211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46211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46211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46211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46211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46211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46211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46211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46211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46211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46211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46211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46211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46211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46211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46211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46211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46211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46211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46211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46211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46211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46211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46211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46211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46211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46211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46211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46211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46211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46211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46211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46211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46211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46211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46211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46211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46211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46211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46211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46211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46211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46211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46211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46211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46211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46211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46211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46211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46211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46211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46211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46211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46211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46211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46211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46211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46211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46211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46211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46211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46211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46211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46211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46211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46211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46211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46211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46211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46211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46211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46211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46211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46211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46211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46211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46211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46211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46211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46211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46211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46211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46211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46211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46211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46211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46211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46211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46211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46211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46211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46211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46211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46211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46211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46211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46211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46211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46211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46211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46211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46211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46211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46211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46211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46211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46211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46211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46211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46211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46211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46211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46211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46211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46211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46211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46211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46211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46211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46211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46211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46211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46211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46211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46211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46211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46211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46211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46211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46211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46211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46211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46211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46211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46211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46211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46211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46211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46211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46211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46211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46211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46211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46211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46211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46211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46211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46211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46211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46211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46211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46211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46211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46211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46211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46211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46211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46211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46211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46211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46211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46211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46211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46211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46211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46211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46211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46211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46211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46211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46211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46211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46211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46211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46211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46211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46211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46211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46211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46211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46211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46211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46211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46211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46211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46211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46211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46211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46211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46211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46211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46211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46211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46211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46211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46211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46211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46211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46211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46211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46211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46211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46211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46211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46211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46211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46211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46211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46211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46211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46211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46211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46211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46211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46211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46211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46211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46211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46211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46211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46211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46211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46211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46211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46211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46211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46211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46211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46211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46211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46211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46211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46211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46211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46211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46211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46211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46211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46211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46211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46211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46211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46211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46211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46211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46211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46211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46211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46211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46211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46211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46211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46211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46211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46211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46211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46211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46211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46211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46211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46211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46211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46211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46211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46211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46211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46211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46211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46211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46211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46211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46211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46211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46211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46211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46211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46211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46211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46211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46211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46211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46211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46211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46211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46211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46211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46211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46211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46211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46211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46211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46211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46211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46211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46211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46211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46211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46211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46211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46211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46211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46211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46211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46211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46211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46211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46211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46211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46211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46211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46211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46211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46211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46211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46211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46211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46211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46211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46211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46211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46211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46211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46211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46211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46211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46211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46211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46211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46211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46211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46211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46211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46211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46211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46211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46211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46211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46211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46211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46211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46211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46211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46211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46211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46211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46211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46211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46211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46211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46211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46211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46211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46211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46211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46211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46211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46211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46211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46211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46211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46211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46211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46211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46211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46211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46211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46211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46211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46211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46211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46211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46211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46211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46211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46211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46211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46211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46211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46211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46211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46211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46211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46211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46211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46211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46211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46211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46211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46211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46211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46211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46211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46211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46211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46211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46211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46211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46211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46211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46211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46211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46211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46211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46211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46211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46211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46211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46211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46211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46211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46211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46211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46211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46211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46211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46211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46211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46211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46211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46211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46211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46211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46211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46211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46211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46211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46211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46211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46211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46211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46211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46211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46211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46211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46211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46211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46211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46211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46211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46211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46211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46211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46211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46211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46211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46211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46211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46211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46211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46211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46211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46211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46211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46211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46211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46211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46211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46211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46211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46211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46211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46211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46211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46211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46211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46211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46211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46211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46211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46211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46211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46211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46211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46211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46211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46211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46211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46211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46211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46211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46211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46211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46211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46211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46211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46211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46211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46211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46211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46211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46211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46211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46211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46211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46211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46211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46211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46211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46211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46211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46211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46211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46211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46211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46211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46211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46211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46211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46211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46211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46211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46211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46210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46211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46211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46211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46211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46211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46211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46211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46211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46211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46211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46211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46211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46211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46211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46211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46211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46211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46211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46211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46211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46211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46211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46211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46211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46211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46211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46211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46211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46211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46211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46211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46211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46211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46211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46211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46211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46211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46211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46211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46211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46211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46211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46211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46211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46211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46211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46211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46211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46211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46211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46211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46211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46211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46211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46211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46211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46211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46211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46211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46211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46211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46211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46211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46211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46211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46211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46211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46211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46211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46211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46211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46211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46211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46211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46211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46211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46211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46211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46211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46211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46211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46211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46211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46211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46211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46211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46211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46211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46211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46211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46211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46211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46211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46211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46211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46211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46211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46211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46211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46211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46211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46211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46211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46211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46211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46211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46211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46211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46211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46211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46211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46211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46211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46211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46211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46211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46211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46211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46211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46211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46211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46211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46211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46211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46211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46211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46211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46211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46211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46211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46211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46211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46211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46211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46211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46211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46211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46211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46211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46211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46211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46211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46211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46211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46211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46211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46211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46211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46211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46211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46211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46211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46211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46211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46211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46211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46211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46211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46211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46211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46211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46211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46211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46211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46211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46211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46211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46211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46211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46211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46211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46211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46211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46211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46211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46211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46211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46211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46211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46211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46211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46211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46211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46211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46211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46211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46211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46211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46211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46211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46211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46211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46211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46211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46211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46211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46211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46211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46211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46211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46211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46211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46211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46211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46211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46211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46211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46211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46211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46211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46211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46211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46211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46211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46211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46211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46211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46211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46211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46211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46211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46211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46211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46211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46211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46211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46211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46211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46211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46211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46211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46211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46211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46211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46211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46211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46211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46211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46211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46211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46211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46211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46211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46211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46211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46211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46211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46211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46211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46211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46211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46211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46211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46211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46211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46211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46211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46211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46211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46211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46211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46211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46211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46211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46211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46211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46211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46211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46211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46211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46211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46211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46211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46211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46211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46211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46211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46211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46211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46211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46211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46211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46211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46211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46211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46211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46211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46211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46211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46211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46211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46211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46211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46211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46211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46211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46211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46211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46211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46211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46211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46211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46211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46211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46211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46211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46211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46211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46211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46211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46211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46211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46211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46211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46211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46211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46211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46211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46211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46211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46211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46210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46211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46211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46211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46211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46211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46211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46211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46211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46211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46211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46211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46211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46211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46211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46211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46211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46211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46211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46211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46211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46211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46211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46211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46211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46211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46211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46211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46211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46211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46211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46211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46211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46211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46211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46211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46211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46211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46211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46211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46211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46211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46211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46211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46211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46211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46211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46211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46211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46211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46211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46211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46211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46211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46211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46211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46211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46211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46211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46211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46211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46211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46211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46211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46211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46211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46211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46211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46211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46211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46211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46211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46211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46211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46211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46211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46211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46211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46211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46211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46211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46211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46211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46211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46211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46211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46211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46211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46211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46211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46211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46211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46211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46211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46211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46211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46211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46211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46211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46211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46211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46211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46211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46211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46211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46211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46211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46211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46211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46211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46211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46211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46211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46211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46211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46211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46211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46211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46211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46211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46211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46211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46211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46211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46211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46211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46211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46211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46211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46211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46211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46211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46211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46211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46211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46211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46211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46211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46211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46211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46211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46211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46211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46211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46211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46211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46211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46211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46211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46211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46211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46211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46211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46211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46211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46211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46211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46211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46211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46211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46211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46211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46211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46211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46211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46211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46211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46211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46211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46211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46211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46211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46211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46211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46211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46211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46211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46211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46211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46211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46211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46211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46211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46211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46211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46211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46211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46211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46211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46211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46211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46211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46211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46211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46211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46211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46211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46211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46211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46211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46211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46211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46211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46211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46211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46211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46211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46211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46211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46211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46211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46211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46211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46211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46211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46211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46211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46211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46211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46211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46211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46211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46211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46211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46211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46211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46211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46211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46211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46211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46211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46211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46211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46211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46211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46211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46211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46211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46211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46211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46211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46211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46211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46211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46211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46211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46211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46211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46211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46211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46211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46211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46211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46211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46211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46211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46211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46211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46211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46211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46211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46211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46211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46211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46211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46211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46211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46211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46211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46211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46211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46211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46211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46211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46211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46211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46211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46211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46211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46211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46211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46211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46211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46211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46211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46211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46211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46211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46211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46211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46211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46211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46211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46211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46211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46211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46211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46211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46211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46211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46211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46211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46211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46211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46211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46211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46211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46211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46211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46211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46211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46211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46211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46211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46211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46211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46211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46211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46211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46211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46211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46211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46211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46211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46211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46211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46211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46211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46211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46211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46211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46211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46211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46211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46211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46211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46211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46211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46211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46211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46211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46211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46211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46211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46210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46211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46211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46211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46211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46211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46211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46211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46211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46211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46211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46211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46211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46211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46211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46211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46211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46211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46211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46211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46211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46211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46211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46211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46211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46211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46211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46211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46211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46211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46211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46211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46211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46211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46211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46211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46211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46211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46211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46211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46211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46211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46211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46211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46211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46211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46211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46211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46211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46211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46211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46211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46211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46211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46211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46211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46211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46211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46211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46211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46211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46211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46211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46211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46211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46211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46211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46211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46211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46211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46211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46211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46211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46211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46211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46211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46211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46211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46211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46211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46211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46211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46211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46211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46211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46211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46211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46211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46211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46211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46211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46211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46211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46211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46211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46211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46211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46211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46211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46211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46211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46211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46211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46211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46211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46211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46211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46211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46211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46211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46211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46211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46211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46211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46211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46211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46211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46211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46211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46211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46211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46211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46211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46211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46211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46211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46211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46211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46211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46211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46211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46211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46211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46211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46211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46211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46211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46211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46211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46211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46211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46211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46211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46211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46211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46211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46211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46211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46211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46211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46211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46211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46211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46211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46211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46211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46211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46211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46211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46211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46211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46211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46211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46211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46211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46211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46211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46211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46211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46211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46211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46211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46211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46211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46211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46211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46211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46211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46211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46211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46211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46211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46211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46211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46211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46211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46211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46211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46211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46211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46211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46211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46211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46211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46211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46211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46211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46211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46211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46211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46211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46211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46211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46211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46211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46211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46211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46211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46211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46211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46211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46211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46211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46211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46211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46211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46211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46211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46211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46211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46211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46211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46211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46211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46211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46211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46211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46211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46211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46211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46211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46211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46211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46211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46211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46211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46211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46211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46211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46211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46211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46211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46211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46211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46211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46211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46211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46211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46211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46211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46211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46211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46211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46211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46211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46211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46211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46211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46211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46211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46211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46211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46211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46211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46211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46211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46211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46211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46211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46211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46211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46211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46211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46211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46211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46211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46211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46211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46211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46211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46211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46211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46211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46211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46211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46211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46211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46211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46211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46211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46211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46211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46211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46211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46211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46211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46211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46211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46211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46211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46211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46211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46211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46211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46211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46211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46211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46211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46211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46211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46211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46211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46211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46211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46211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46211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46211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46211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46211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46211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46211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46211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46211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46211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46211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46211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46211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46211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46211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46211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46211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46211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46211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46211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46211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46211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46211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46211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46211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46211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46211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46211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46211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46211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46211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46211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46211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46211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46211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46211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46211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46211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46211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46211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46211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46211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46211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46211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46211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46211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46211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46211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46211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46211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46211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46211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46211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46211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46211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46211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46211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46211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46211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46211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46211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46211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46211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46211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46211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46211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46211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46211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46211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46211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46211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46211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46211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46211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46211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46211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46211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46211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46211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46211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46211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46211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46211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46211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46211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46211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46211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46211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46211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46211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46211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46211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46211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46211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46211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46211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46211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46211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46211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46211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46211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46211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46211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46211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46211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46211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46211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46211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46211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46211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46211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46211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46211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46211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46211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46211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46211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46211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46211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46211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46211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46211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46211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46211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46211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46211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46211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46211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46211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46211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46211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46211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46211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46211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46211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46211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46211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46211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46211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46211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46211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46211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46211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46211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46211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46211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46211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46211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46211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46211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46211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46211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46211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46211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46211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46211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46211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46211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46211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46211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46211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46211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46211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46211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46211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46211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46211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46211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46211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46211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46211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46211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46211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46211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46211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46211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46211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46211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46211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46211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46211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46211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46211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46211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46211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46211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46211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46211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46211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46211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46211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46211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46211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46211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46211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46211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46211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46211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46211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46211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46211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46211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46211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46211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46211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46211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46211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46211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46211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46211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46211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46211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46211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46211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46211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46211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46211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46211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46211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46211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46211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46211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46211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46211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46211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46211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46211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46211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46211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46211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46211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46211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46211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46211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46211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46211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46211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46211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46211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46211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46211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46211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46211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46211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46211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46211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46211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46211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46211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46211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46211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46211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46211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46211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46211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46211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46211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46211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46211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46211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46211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46211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46211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46211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46211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46211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46211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46211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46211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46211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46211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46211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46211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46211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46211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46211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46211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46211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46211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46211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46211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46211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46211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46211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46211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46211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46211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46211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46211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46211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46211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46211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46211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46211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46211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46211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46211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46211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46211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46211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46211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46211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46211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46211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46211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46211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46211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46211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46211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46211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46211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46211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46211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46211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46211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46211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46211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46211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46211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46211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46211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46211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46211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46211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46211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46211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46211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46211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46211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46211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46211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46211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46211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46211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46211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46211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46211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46211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46211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46211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46211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46211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46211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46211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46211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46211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46211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46211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46211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46211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46211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46211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46211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46211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46211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46211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46211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46211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46211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46211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46211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46211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46211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46211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46211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46211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46211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46211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46211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46211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46211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46211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46211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46211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46211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46211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46211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46211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46211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46211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46211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46211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46211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46211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46211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46211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46211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46211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46211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46211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46211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46211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46211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46211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46211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46211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46211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46211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46211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46211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46211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46211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46211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46211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46211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46211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46211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46211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46211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46211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46211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46211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46211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46211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46211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46211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46211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46211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46211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46211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46211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46211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46211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46211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46211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46211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46211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46211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46211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46211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46211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46211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46211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46211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46211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46211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46211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46211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46211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46211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46211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46211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46211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46211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46211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46211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46211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46211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46211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46211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46211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46211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46211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46211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46211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46211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46211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46211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46211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46211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46211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46211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46211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46211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46211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46211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46211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46211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46211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46211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46211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46211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46211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46211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46211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46211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46211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46211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46211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46211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46211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46211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46211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46211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46211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46211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46211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46211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46211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46211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46211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46211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46211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46211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46211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46211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46211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46211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46211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46211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46211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46211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46211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46211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46211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46211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46211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46211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46211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46211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46211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46211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46211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46211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46211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46211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46211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46211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46211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46211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46211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46211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46211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46211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46211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46211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46211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46211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46211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46211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46211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46211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46211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46211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46211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46211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46211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46211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46211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46211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46211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46211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46211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46211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46211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46211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46211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46211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46211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46211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46211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46211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46211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46211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46211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46211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46211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46211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46211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46211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46211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46211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46211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46211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46211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46211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46211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46211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46211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46211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46211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46211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46211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46211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46211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46211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46211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46211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46211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46211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46211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46211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46211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46211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46211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46211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46211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46211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46211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46211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46211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46211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46211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46211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46211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46211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46211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46211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46211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46211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46211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46211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46211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46211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46211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46211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46211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46211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46211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46211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46211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46211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46211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46211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46211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46211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46211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46211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46211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46211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46211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46211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46211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46211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46211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46211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46211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46211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46211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46211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46211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46211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46211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46211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46211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46211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46211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46211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46211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46211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46211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46211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46211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46211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46211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46211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46211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46211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46211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46211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46211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46211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46211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46211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46211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46211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46211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46211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46211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46211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46211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46211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46211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46211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46211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46211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46211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46211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46211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46211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46211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46211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46211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46211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46211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46211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46211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46211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46211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46211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46211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46211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46211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46211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46211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46211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46211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46211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46211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46211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46211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46211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46211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46211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46211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46211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46211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46211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46211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46211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46211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46211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46211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46211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46211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46211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46211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46211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46211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46211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46211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46211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46211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46211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46211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46211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46211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46211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46211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46211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46211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46211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46211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46211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46211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46211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46211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46211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46211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46211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46211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46211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46211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46211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46211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46211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46211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46211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46211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46211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46211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46211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46211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46211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46211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46211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46211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46211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46211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46211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46211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46211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46211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46211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46211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46211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46211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46211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46211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46211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46211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46211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46211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46211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46211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46211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46211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46211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46211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46211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46211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46211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46211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46211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46211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46211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46211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46211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46211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46211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46211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46211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46211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46211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46211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46211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46211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46211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46211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46211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46211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46211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46211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46211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46211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46211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46211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46211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46211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46211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46211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46211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46211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46211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46211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46211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46211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46211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46211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46211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46211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46211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46211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46211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46211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46211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46211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46211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46211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46211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46211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46211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46211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46211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46211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46211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46211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46211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46211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46211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46211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46211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46211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46211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46211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46211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46211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46211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46211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46211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46211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46211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46211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46211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46211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46211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46211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46211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46211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46211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46211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46211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46211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46211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46211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46211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46211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46211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46211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46211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46211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46211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46211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46211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46211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46211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46211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46211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46211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46211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46211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46211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46211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46211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46211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46211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46211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46211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46211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46211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46211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46211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46211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46211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46211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46211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46211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46211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46211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46211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46211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46211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46211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46211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46211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46211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46211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46211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46211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46211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46211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46211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46211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46211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46211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46211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46211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46211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46211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46211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46211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46211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46211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46211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46211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46211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46211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46211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46211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46211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46211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46211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46211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46211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46211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46211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46211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46211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46211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46211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46211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46211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46211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46211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46211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46211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46211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46211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46211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46211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46211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46211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46211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46211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46211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46211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46211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46211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46211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46211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46211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46211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46211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46211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46211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46211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46211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46211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46211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46211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46211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46211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46211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46211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46211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46211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46211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46211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46211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46211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46211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46211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46211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46211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46211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46211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46211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46211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46211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46211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46211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46211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46211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46211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46211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46211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46211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46211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46211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46211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46211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46211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46211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46211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46211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46211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46211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46211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46211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46211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46211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46211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46211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46211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46211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46211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46211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46211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46211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46211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46211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46211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46211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46211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46211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46211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46211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46211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46211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46211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46211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46211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46211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46211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46211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46211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46211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46211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46211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46211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46211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46211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46211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46211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46211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46211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46211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46211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46211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46211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46211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46211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46211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46211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46211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46211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46211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46211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46211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46211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46211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46211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46211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46211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46211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46211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46211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46211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46211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46211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46211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46211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46211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46211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46211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46211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46211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46211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46211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46211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46211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46211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46211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46211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46211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46211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46211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46211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46211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46211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46211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46211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46211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46211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46211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46211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46211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46211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46211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46211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46211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46211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46211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46211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46211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46211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46211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46211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46211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46211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46211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46211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46211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46211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46211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46211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46211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46211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46211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46211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46211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46211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46211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46211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46211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46211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46211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46211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46211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46211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46211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46211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46211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46211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46211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46211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46211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46211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46211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46211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46211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46211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46211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46211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46211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46211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46211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46211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46211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46211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46211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46211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46211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46211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46211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46211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46211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46211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46211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46211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46211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46211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46211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46211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46211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46211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46211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46211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46211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46211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46211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46211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46211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46211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46211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46211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46211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46211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46211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46211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46211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46211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46211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46211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46211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46211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46211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46211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46211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46211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46211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46211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46211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46211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46211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46211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46211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46211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46211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46211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46211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46211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46211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46211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46211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46211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46211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46211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46211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46211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46211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46211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46211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46211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46211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46211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46211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46211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46211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46211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46211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46211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46211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46211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46211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46211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46211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46211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46211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46211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46211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46211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46211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46211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46211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46211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46211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46211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46211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46211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46211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46211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46211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46211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46211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46211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46211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46211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46211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46211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46211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46211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46211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46211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46211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46211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46211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46211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46211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46211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46211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46211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46211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46211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46211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46211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46211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46211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46211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46211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46211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46211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46211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46211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46211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46211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46211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46211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46211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46211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46211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46211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46211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46211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46211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46211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46211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46211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46211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46211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46211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46211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46211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46211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46211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46211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46211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46211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46211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46211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46211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46211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46211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46211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46211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46211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46211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46211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46211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46211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46211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46211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46211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46211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46211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46211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46211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46211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46211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46211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46211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46211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46211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46211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46211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46211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46211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46211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46211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46211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46211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46211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46211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46211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46211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46211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46211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46211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46211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46211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46211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46211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46211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46211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46211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46211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46211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46211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46211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46211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46211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46211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46211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46211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46211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46211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46211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46211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46211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46211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46211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46211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46211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46211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46211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46211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46211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46211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46211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46211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46211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46211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46211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46211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46211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46211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46211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46211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46211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46211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46211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46211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46211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46211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46211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46211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46211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46211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46211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46211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46211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46211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46211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46211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46211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46211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46211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46211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46211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46211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46211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46211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46211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46211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46211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46211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46211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46211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46211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46211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46211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46211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46211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46211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46211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46211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46211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46211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46211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46211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46211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46211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46211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46211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46211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46211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46211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46211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46211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46211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46211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46211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46211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46211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46211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46211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46211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46211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46211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46211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46211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46211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46211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46211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46211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46211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46211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46211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46211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46211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46211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46211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46211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46211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46211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46211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46211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46211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46211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46211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46211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46211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46211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46211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46211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46211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46211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46211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46211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46211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46211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46211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46211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46211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46211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46211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46211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46211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46211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46211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46211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46211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46211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46211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46211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46211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46211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46211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46211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46211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46211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46211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46211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46211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46211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46211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46211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46211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46211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46211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46211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46211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46211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46211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46211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46211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46211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46211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46211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46211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46211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46211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46211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46211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46211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46211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46211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46211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46211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46211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46211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46211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46211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46211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46211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46211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46211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46211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46211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46211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46211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46211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46211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46211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46211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46211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46211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46211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46211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46211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46211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46211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46211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46211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46211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46211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46211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46211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46211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46211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46211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46211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46211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46211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46211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46211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46211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46211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46211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46211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46211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46211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46211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46211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46211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46211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46211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46211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46211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46211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46211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46211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46211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46211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46211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46211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46211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46211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46211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46211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46211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46211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46211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46211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46211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46211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46211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46211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46211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46211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46211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46211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46211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46211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46211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46211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46211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46211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46211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46211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46211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46211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46211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46211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46211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46211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46211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46211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46211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46211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46211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46211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46211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46211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46211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46211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46211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46211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46211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46211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46211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46211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46211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46211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46211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46211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46211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46211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46211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46211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46211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46211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46211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46211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46211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46211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46211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46211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46211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46211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46211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46211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46211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46211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46211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46211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46211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46211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46211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46211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46211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46211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46211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46211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46211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46211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46211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46211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46211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46211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46211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46211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46211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46211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46211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46211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46211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46211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46211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46211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46211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46211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46211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46211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46211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46211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46211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46211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46211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46211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46211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46211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46211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46211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46211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46211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46211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46211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46211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46211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46211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46211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46211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46211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46211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46211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46211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46211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46211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46211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46211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46211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46211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46211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46211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46211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46211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46211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46211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46211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46211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46211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46211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46211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46211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46211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46211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46211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46211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46211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46211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46211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46211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46211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46211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46211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46211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46211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46211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46211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46211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46211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46211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46211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46211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46211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46211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46211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46211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46211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46211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46211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46211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46211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46211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46211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46211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46211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46211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46211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46211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46211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46211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46211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46211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46211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46211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46211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46211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46211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46211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46211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46211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46211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46211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46211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46211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46211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46211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46211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46211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46211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46211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46211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46211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46211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46211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46211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46211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46211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46211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46211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46211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46211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46211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46211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46211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46211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46211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46211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46211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46211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46211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46211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46211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46211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46211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46211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46211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46211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46211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46211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46211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46211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46211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46211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46211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46211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46211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46211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46211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46211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46211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46211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46211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46211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46211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46211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46211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46211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46211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46211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46211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46211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46211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46211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46211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46211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46211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46211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46211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46211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46211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46211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46211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46211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46211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46211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46211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46211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46211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46211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46211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46211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46211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46211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46211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46211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46211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46211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46211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46211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46211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46211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46211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46211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46211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46211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46211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46211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46211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46211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46211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46211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46211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46211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46211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46211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46211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46211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46211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46211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46211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46211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46211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46211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46211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46211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46211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46211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46211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46211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46211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46211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46211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46211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46211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46211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46211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46211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46211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46211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46211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46211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46211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46211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46211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46211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46211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46211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46211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46211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46211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46211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46211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46211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46211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46211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46211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46211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46211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46211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46211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46211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46211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46211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46211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46211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46211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46211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46211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46211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46211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46211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46211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46211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46211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46211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46211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46211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46211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46211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46211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46211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46211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46211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46211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46211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46211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46211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46211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46211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46211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46211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46211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46211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46211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46211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46211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46211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46211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46211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46211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46211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46211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46211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46211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46211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46211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46211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46211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46211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46211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46211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46211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46211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46211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46211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46211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46211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46211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46211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46211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46211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46211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46211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46211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46211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46211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46211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46211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46211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46211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46211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46211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46211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46211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46211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46211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46211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46211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46211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46211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46211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46211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46211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46211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46211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46211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46211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46211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46211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46211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46211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46211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46211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46211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46211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46211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46211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46211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46211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46211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46211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46211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46211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46211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46211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46211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46211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46211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46211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46211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46211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46211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46211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46211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46211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46211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46211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46211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46211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46211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46211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46211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46211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46211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46211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46211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46211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46211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46211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46211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46211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46211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46211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46211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46211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46211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46211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46211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46211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46211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46211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46211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46211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46211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46211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46211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46211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46211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46211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46211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46211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46211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46211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46211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46211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46211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46211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46211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46211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46211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46211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46211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46211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46211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46211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46211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46211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46211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46211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46211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46211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46211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46211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46211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46211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46211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46211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46211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46211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46211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46211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46211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46211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46211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46211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46211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46211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46211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46211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46211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46211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46211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46211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46211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46211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46211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46211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46211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46211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46211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46211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46211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46211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46211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46211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46211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46211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46211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46211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46211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46211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46211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46211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46211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46211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46211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46211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46211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46211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46211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46211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46211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46211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46211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46211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46211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46211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46211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46211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46211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46211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46211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46211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46211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46211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46211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46211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46211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46211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46211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46211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46211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46211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46211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46211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46211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46211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46211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46211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46211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46211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46211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46211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46211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46211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46211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46211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46211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46211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46211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46211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46211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46211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46211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46211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46211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46211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46211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46211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46211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46211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46211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46211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46211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46211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46211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46211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46211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46211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46211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46211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46211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46211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46211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46211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46211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46211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46211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46211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46211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46211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46211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46211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46211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46211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46211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46211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46211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46211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46211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46211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46211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46211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46211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46211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46211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46211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46211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46211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46211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46211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46211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46211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46211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46211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46211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46211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46211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46211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46211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46211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46211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46211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46211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46211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46211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46211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46211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46211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46211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46211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46211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46211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46211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46211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46211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46211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46211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46211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46211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46211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46211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46211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46211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46211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46211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46211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46211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46211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46211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46211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46211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46211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46211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46211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46211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46211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46211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46211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46211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46211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46211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46211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46211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46211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46211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46211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46211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46211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46211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46211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46211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46211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46211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46211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46211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46211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46211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46211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46211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46211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46211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46211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46211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46211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46211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46211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46211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46211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46211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46211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46211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46211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46211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46211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46211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46211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46211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46211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46211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46211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46211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46211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46211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46211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46211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46211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46211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46211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46211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46211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46211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46211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46211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46211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46211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46211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46211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46211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46211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46211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46211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46211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46211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46211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46211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46211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46211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46211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46211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46211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46211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46211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46211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46211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46211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46211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46211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46211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46211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46211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46211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46211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46211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46211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46211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46211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46211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46211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46211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46211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46211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46211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46211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46211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46211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46211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46211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46211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46211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46211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46211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46211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46211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46211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46211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46211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46211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46211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46211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46211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46211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46211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46211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46211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46211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46211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46211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46211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46211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46211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46211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46211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46211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46211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46211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46211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46211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46211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46211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46211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46211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46211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46211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46211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46211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46211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46211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46211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46211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46211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46211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46211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46211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46211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46211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46211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46211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46211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46211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46211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46211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46211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46211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46211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46211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46211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46211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46211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46211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46211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46211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46211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46211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46211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46211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46211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46211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46211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46211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46211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46211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46211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46211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46211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46211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46211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46211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46211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46211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46211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46211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46211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46211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46211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46211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46211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46211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46211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46211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46211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46211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46211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46211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46211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46211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46211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46211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46211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46211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46211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46211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46211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46211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46211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46211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46211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46211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46211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46211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46211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46211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46211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46211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46211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46211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46211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46211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46211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46211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46211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46211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46211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46211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46211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46211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46211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46211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46211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46211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46211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46211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46211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46211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46211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46211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46211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46211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46211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46211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46211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46211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46211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46211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46211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46211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46211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46211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46211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46211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46211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46211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46211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46211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46211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46211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46211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46211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46211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46211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46211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46211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46211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46211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46211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46211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46211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46211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46211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46211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46211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46211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46211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46211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46211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46211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46211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46211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46211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46211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46211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46211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46211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46211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46211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46211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46211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46211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46211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46211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46211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46211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46211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46211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46211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46211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46211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46211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46211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46211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46211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46211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46211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46211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46211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46211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46211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46211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46211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46211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46211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46211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46211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46211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46211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46211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46211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46211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46211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46211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46211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46211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46211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46211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46211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46211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46211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46211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46211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46211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46211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46211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46211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46211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46211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46211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46211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46211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46211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46211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46211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46211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46211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46211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46211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46211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46211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46211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46211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46211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46211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46211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46211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46211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46211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46211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46211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46211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46211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46211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46211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46211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46211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46211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46211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46211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46211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46211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46211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46211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46211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46211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46211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46211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46211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46211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46211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46211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46211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46211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46211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46211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46211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46211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46211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46211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46211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46211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46211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46211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46211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46211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46211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46211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46211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46211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46211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46211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46211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46211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46211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46211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46211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46211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46211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46211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46211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46211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46211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46211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46211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46211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46211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46211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46211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46211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46211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46211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46211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46211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46211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46211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46211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46211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46211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46211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46211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46211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46211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46211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46211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46211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46211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46211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46211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46211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46211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46211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46211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46211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46211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46211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46211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46211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46211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46211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46211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46211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46211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46211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46211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46211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46211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46211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46211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46211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46211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46211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46211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46211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46211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46211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46211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46211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46211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46211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46211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46211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46211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46211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46211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46211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46211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46211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46211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46211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46211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46211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46211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46211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46211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46211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46211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46211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46211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46211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46211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46211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46211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46211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46211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46211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46211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46211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46211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46211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46211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46211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46211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46211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46211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46211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46211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46211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46211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46211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46211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46211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46211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46211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46211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46211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46211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46211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46211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46211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46211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46211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46211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46211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46211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46211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46211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46211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46211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46211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46211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46211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46211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46211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46211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46211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46211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46211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46211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46211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46211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46211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46211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46211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46211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46211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46211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46211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46211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46211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46211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46211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46211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46211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46211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46211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46211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46211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46211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46211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46211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46211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46211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46211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46211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46211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46211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46211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46211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46211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46211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46211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46211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46211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46211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46211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46211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46211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46211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46211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46211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46211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46211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46211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46211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46211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46211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46211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46211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46211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46211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46211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46211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46211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46211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46211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46211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46211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46211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46211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46211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46211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46211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46211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46211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46211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46211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46211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46211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46211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46211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46211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46211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46211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46211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46211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46211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46211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46211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46211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46211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46211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46211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46211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46211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46211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46211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46211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46211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46211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46211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46211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46211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46211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46211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46211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46211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46211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46211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46211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46211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46211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46211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46211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46211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46211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46211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46211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46211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46211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46211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46211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46211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46211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46211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46211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46211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46211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46211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46211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46211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46211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46211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46211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46211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46211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46211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46211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46211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46211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46211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46211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46211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46211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46211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46211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46211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46211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46211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46211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46211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46211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46211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46211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46211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46211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46211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46211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46211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46211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46211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46211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46211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46211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46211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46211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46211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46211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46211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46211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46211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46211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46211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46211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46211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46211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46211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46211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46211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46211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46211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46211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46211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46211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46211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46211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46211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46211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46211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46211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46211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46211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46211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46211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46211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46211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46211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46211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46211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46211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46211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46211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46211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46211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46211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46211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46211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46211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46211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46211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46211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46211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46211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46211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46211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46211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46211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46211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46211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46211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46211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46211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46211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46211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46211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46211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46211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46211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46211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46211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46211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46211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46211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46211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46211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46211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46211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46211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46211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46211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46211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46211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46211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46211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46211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46211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46211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46211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46211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46211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46211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46211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46211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46211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46211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46211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46211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46211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46211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46211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46211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46211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46211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46211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46211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46211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46211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46211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46211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46211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46211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46211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46211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46211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46211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46211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46211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46211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46211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46211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46211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46211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46211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46211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46211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46211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46211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46211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46211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46211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46211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46211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46211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46211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46211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46211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46211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46211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46211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46211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46211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46211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46211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46211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46211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46211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46211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46211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46211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46211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46211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46211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46211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46211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46211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46211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46211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46211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46211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46211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46211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46211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46211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46211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46211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46211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46211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46211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46211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46211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46211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46211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46211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46211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46211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46211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46211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46211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46211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46211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46211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46211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46211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46211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46211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46211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46211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46211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46211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46211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46211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46211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46211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46211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46211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46211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46211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46211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46211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46211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46211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46211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46211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46211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46211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46211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46211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46211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46211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46211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46211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46211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46211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46211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46211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46211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46211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46211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46211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46211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46211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46211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46211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46211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46211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46211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46211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46211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46211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46211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46211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46211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46211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46211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46211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46211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46211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46211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46211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46211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46211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46211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46211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46211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46211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46211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46211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46211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46211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46211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46211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46211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46211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46211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46211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46211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46211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46211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46211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46211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46211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46211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46211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46211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46211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46211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46211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46211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46211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46211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46211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46211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46211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46211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46211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46211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46211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46211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46211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46211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46211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46211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46211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46211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46211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46211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46211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46211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46211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46211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46211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46211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46211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46211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46211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46211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46211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46211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46211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46211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46211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46211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46211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46211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46211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46211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46211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46211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46211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46211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46211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46211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46211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46211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46211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46211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46211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46211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46211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46211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46211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46211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46211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46211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46211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46211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46211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46211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46211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46211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46211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46211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46211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46211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46211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46211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46211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46211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46211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46211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46211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46211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46211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46211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46211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46211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46211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46211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46211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46211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46211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46211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46211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46211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46211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46211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46211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46211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46211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46211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46211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46211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46211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46211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46211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46211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46211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46211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46211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46211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46211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46211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46211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46211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46211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46211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46211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46211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46211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46211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46211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46211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46211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46211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46211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46211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46211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46211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46211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46211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46211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46211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46211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46211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46211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46211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46211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46211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46211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46211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46211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46211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46211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46211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46211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46211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46211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46211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46211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46211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46211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46211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46211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46211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46211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46211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46211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46211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46211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46211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46211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46211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46211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46211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46211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46211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46211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46211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46211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46211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46211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46211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46211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46211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46211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46211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46211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46211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46211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46211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46211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46211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46211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46211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46211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46211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46211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46211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46211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46211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46211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46211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46211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46211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46211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46211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46211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46211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46211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46211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46211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46211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46211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46211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46211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46211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46211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46211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46211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46211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46211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46211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46211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46211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46211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46211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46211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46211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46211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46211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46211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46211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46211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46211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46211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46211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46211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46211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46211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46211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46211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46211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46211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46211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46211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46211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46211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46211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46211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46211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46211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46211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46211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46211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46211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46211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46211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46211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46211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46211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46211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46211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46211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46211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46211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46211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46211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46211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46211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46211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46211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46211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46211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46211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46211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46211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46211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46211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46211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46211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46211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46211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46211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46211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46211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46211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46211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46211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46211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46211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46211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46211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46211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46211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46211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46211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46211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46211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46211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46211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46211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46211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46211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46211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46211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46211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46211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46211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46211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46211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46211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46211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46211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46211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46211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46211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46211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46211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46211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46211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46211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46211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46211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46211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46211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46211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46211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46211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46211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46211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46211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46211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46211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46211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46211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46211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46211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46211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46211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46211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46211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46211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46211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46211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46211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46211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46211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46211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46211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46211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46211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46211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46211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46211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46211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46211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46211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46211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46211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46211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46211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46211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46211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46211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46211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46211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46211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46211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46211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46211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46211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46211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46211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46211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46211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46211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46211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46211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46211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46211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46211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46211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46211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46211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46211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46211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46211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46211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46211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46211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46211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46211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46211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46211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46211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46211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46211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46211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46211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46211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46211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46211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46211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46211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46211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46211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46211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46211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46211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46211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46211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46211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46211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46211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46211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46211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46211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46211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46211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46211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46211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46211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46211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46211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46211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46211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46211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46211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46211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46211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46211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46211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46211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46211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46211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46211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46211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46211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46211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46211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46211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46211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46211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46211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46211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46211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46211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46211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46211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46211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46211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46211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46211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46211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46211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46211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46211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46211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46211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46211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46211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46211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46211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46211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46211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46211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46211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46211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46211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46211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46211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46211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46211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46211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46211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46211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46211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46211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46211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46211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46211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46211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46211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46211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46211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46211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46211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46211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46211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46211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46211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46211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46211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46211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46211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46211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46211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46211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46211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46211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46211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46211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46211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46211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46211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46211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46211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46211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46211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46211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46211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46211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46211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46211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46211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46211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46211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46211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46211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46211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46211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46211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46211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46211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46211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46211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46211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46211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46211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46211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46211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46211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46211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46211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46211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46211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46211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46211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46211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46211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46211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46211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46211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46211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46211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46211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46211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46211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46211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46211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46211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46211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46211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46211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46211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46211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46211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46211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46211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46211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46211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46211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46211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46211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46211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46211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46211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46211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46211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46211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46211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46211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46211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46211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46211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46211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46211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46211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46211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46211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46211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46211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46211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46211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46211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46211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46211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46211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46211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46211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46211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46211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46211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46211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46211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46211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46211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46211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46211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46211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46211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46211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46211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46211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46211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46211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46211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46211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46211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46211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46211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46211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46211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46211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46211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46211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46211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46211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46211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46211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46211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46211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46211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46211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46211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46211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46211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46211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46211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46211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46211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46211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46211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46211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46211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46211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46211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46211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46211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46211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46211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46211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46211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46211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46211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46211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46211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46211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46211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46211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46211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46211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46211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46211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46211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46211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46211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46211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46211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46211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46211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46211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46211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46211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46211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46211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46211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46211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46211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46211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46211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46211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46211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46211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46211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46211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46211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46211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46211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46211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46211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46211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46211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46211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46211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46211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46211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46211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46211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46211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46211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46211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46211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46211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46211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46211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46211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46211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46211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46211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46211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46211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46211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46211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46211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46211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46211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46211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46211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46211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46211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46211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46211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46211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46211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46211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46211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46211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46211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46211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46211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46211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46211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46211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46211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46211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46211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46211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46211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46211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46211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46211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46211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46211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46211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46211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46211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46211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46211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46211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46211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46211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46211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46211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46211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46211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46211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46211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46211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46211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46211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46211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46211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46211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46211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46211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46211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46211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46211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46211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46211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46211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46211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46211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46211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46211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46211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46211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46211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46211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46211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46211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46211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46211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46211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46211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46211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46211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46211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46211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46211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46211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46211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46211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46211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46211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46211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46211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46211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46211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46211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46211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46211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46211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46211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46211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46211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46211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46211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46211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46211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46211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46211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46211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46211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46211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46211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46211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46211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46211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46211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46211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46211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46211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46211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46211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46211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46211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46211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46211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46211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46211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46211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46211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46211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46211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46211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46211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46211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46211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46211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46211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46211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46211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46211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46211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46211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46211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46211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46211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46211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46211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46211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46211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46211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46211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46211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46211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46211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46211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46211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46211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46211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46211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46211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46211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46211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46211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46211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46211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46211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46211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46211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46211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46211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46211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46211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46211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46211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46211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46211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46211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46211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46211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46211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46211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46211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46211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46211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46211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46211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46211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46211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46211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46211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46211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46211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46211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46211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46211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46211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46211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46211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46211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46211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46211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46211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46211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46211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46211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46211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46211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46211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46211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46211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46211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46211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46211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46211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46211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46211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46211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46211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46211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46211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46211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46211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46211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46211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46211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46211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46211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46211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46211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46211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46211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46211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46211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46211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46211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46211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46211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46211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46211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46211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46211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46211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46211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46211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46211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46211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46211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46211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46211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46211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46211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46211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46211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46211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46211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46211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46211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46211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46211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46211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46211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46211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46211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46211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46211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46211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46211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46211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46211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46211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46211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46211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46211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46211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46211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46211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46211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46211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46211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46211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46211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46211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46211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46211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46211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46211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46211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46211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46211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46211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46211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46211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46211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46211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46211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46211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46211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46211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46211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46211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46211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46211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46211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46211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46211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46211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46211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46211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46211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46211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46211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46211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46211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46211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46211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46211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46211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46211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46211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46211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46211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46211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46211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46211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46211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46211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46211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46211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46211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46211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46211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46211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46211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46211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46211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46211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46211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46211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46211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46211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46211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46211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46211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46211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46211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46211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46211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46211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46211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46211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46211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46211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46211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46211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46211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46211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46211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46211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46211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46211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46211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46211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46211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46211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46211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46211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46211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46211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46211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46211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46211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46211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46211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46211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46211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46211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46211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46211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46211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46211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46211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46211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46211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46211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46211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46211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46211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46211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46211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46211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46211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46211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46211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46211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46211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46211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46211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46211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46211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46211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46211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46211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46211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46211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46211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46211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46211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46211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46211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46211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46211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46211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46211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46211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46211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46211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46211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46211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46211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46211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46211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46211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46211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46211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46211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46211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46211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46211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46211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46211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46211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46211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46211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46211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46211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46211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46211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46211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46211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46211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46211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46211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46211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46211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46211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46211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46211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46211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46211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46211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46211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46211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46211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46211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46211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46211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46211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46211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46211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46211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46211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46211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46211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46211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46211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46211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46211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46211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46211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46211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46211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46211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46211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46211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46211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46211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46211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46211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46211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46211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46211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46211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46211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46211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46211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46211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46211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46211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46211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46211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46211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46211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46211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46211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46211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46211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46211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46211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46211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46211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46211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46211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46211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46211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46211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46211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46211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46211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46211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46211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46211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46211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46211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46211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46211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46211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46211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46211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46211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46211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46211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46211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46211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46211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46211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46211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46211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46211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46211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46211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46211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46211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46211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46211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46211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46211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46211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46211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46211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46211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46211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46211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46211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46211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46211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46211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46211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46211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46211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46211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46211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46211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46211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46211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46211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46211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46211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46211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46211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46211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46211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46211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46211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46211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46211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46211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46211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46211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46211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46211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46211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46211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46211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46211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46211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46211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46211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46211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46211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46211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46211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46211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46211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46211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46211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46211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46211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46211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46211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46211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46211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46211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46211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46211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46211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46211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46211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46211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46211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46211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46211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46211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46211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46211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46211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46211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46211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46211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46211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46211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46211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46211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46211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46211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46211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46211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46211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46211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46211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46211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46211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46211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46211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46211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46211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46211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46211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46211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46211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46211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46211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46211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46211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46211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46211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46211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46211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46211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46211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46211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46211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46211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46211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46211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46211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46211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46211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46211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46211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46211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46211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46211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46211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46211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46211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46211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46211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46211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46211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46211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46211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46211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46211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46211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46211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46211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46211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46211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46211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46211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46211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46211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46211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46211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46211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46211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46211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46211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46211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46211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46211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46211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46211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46211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46211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46211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46211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46211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46211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46211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46211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46211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46211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46211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46211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46211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46211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46211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46211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46211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46211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46211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46211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46211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46211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46211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46211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46211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46211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46211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46211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46211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46211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46211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46211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46211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46211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46211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46211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46211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46211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46211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46211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46211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46211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46211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46211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46211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46211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46211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46211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46211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46211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46211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46211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46211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46211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46211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46211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46211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46211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46211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46211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46211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46211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46211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46211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46211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46211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46211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46211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46211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46211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46211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46211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46211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46211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46211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46211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46211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46211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46211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46211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46211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46211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46211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46211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46211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46211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46211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46211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46211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46211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46211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46211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46211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46211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46211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46211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46211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46211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46211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46211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46211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46211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46211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46211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46211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46211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46211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46211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46211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46211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46211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46211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46211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46211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46211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46211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46211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46211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46211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46211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46211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46211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46211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46211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46211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46211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46211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46211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46211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46211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46211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46211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46211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46211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46211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46211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46211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46211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46211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46211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46211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46211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46211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46211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46211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46211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46211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46211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46211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46211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46211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46211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46211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46211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46211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46211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46211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46211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46211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46211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46211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46211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46211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46211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46211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46211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46211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46211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46211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46211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46211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46211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46211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46211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46211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46211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46211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46211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46211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46211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46211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46211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46211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46211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46211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46211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46211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46211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46211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46211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46211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46211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46211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46211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46211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46211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46211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46211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46211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46211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46211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46211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46211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46211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46211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46211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46211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46211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46211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46211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46211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46211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46211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46211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46211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46211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46211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46211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46211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46211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46211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46211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46211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46211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46211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46211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46211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46211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46211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46211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46211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46211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46211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46211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46211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46211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46211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46211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46211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46211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46211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46211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46211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46211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46211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46211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46211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46211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46211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46211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46211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46211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46211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46211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46211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46211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46211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46211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46211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46211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46211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46211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46211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46211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46211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46211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46211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46211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46211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46211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46211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46211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46211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46211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46211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46211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46211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46211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46211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46211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46211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46211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46211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46211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46211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46211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46211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46211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46211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46211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46211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46211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46211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46211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46211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46211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46211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46211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46211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46211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46211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46211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46211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46211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46211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46211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46211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46211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46211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46211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46211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46211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46211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46211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46211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46211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46211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46211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46211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46211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46211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46211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46211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46211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46211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46211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46211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46211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46211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46211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46211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46211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46211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46211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46211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46211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46211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46211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46211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46211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46211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46211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46211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46211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46211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46211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46211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46211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46211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46211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46211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46211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46211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46211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46211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46211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46211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46211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46211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46211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46211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46211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46211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46211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46211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46211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46211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46211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46211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46211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46211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46211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46211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46211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46211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46211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46211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46211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46211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46211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46211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46211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46211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46211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46211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46211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46211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46211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46211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46211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46211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46211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46211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46211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46211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46211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46211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46211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46211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46211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46211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46211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46211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46211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46211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46211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46211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46211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46211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46211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46211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46211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46211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46211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46211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46211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46211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46211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46211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46211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46211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46211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46211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46211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46211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46211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46211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46211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46211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46211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46211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46211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46211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46211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46211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46211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46211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46211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46211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46211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46211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46211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46211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46211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46211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46211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46211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46211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46211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46211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46211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46211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46211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46211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46211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46211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46211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46211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46211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46211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46211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46211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46211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46211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46211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46211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46211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46211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46211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46211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46211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46211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46211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46211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46211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46211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46211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46211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46211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46211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46211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46211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46211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46211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46211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46211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46211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46211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46211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46211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46211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46211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46211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46211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46211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46211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46211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46211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46211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46211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46211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46211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46211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46211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46211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46211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46211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46211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46211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46211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46211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46211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46211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46211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46211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46211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46211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46211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46211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46211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46211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46211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46211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46211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46211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46211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46211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46211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46211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46211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46211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46211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46211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46211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46211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46211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46211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46211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46211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46211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46211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46211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46211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46211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46211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46211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46211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46211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46211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46211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46211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46211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46211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46211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46211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46211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46211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46211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46211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46211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46211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46211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46211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46211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46211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46211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46211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46211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46211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46211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46211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46211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46211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46211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46211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46211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46211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46211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46211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46211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46211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46211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46211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46211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46211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46211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46211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46211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46211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46211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46211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46211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46211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46211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46211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46211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46211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46211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46211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46211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46211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46211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46211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46211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46211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46211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46211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46211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46211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46211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46211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46211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46211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46211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46211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46211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46211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46211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46211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46211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46211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46211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46211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46211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46211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46211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46211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46211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46211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46211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46211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46211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46211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46211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46211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46211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46211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46211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46211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46211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46211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46211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46211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46211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46211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46211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46211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46211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46211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46211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46211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46211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46211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46211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46211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46211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46211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46211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46211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46211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46211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46211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46211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46211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46211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46211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46211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46211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46211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46211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46211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46211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46211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46211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46211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46211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46211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46211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46211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46211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46211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46211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46211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46211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46211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46211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46211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46211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46211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46211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46211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46211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46211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46211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46211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46211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46211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46211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46211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46211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46211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46211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46211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46211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46211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46211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46211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46211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46211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46211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46211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46211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46211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46211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46211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46211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46211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46211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46211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46211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46211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46211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46211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46211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46211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46211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46211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46211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46211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46211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46211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46211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46211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46211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46211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46211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46211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46211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46211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46211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46211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46211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46211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46211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46211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46211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46211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46211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46211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46211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46211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46211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46211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46211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46211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46211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46211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46211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46211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46211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46211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46211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46211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46211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46211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46211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46211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46211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46211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46211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46211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46211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46211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46211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46211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46211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46211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46211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46211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46211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46211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46211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46211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46211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46211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46211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46211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46211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46211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46211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46211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46211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46211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46211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46211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46211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46211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46211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46211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46211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46211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46211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46211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46211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46211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46211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46211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46211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46211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46211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46211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46211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46211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46211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46211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46211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46211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46211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46211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46211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46211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46211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46211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46211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46211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46211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46211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46211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46211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46211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46211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46211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46211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46211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46211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46211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46211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46211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46211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46211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46211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46211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46211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46211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46211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46211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46211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46211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46211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46211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46211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46211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46211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46211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46211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46211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46211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46211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46211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46211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46211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46211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46211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46211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46211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46211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46211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46211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46211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46211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46211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46211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46211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46211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46211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46211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46211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46211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46211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46211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46211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46211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46211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46211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46211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46211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46211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46211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46211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46211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46211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46211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46211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46211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46211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46211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46211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46211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46211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46211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46211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46211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46211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46211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46211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46211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46211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46211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46211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46211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46211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46211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46211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46211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46211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46211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46211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46211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46211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46211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46211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46211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46211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46211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46211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46211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46211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46211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46211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46211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46211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46211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46211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46211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46211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46211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46211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46211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46211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46211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46211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46211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46211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46211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46211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46211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46211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46211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46211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46211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46211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46211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46211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46211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46211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46211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46211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46211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46211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46211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46211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46211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46211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46211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46211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46211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46211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46211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46211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46211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46211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46211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46211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46211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46211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46211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46211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46211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46211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46211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46211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46211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46211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46211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46211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46211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46211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46211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46211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46211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46211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46211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46211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46211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46211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46211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46211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46211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46211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46211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46211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46211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46211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46211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46211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46211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46211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46211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46211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46211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46211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46211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46211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46211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46211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46211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46211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46211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46211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46211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46211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46211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46211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46211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46211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46211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46211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46211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46211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46211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46211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46211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46211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46211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46211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46211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46211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46211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46211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46211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46211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46211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46211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46211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46211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46211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46211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46211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46211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46211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46211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46211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46211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46211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46211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46211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46211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46211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46211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46211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46211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46211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46211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46211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46211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46211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46211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46211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46211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46211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46211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46211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46211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46211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46211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46211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46211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46211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46211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46211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46211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46211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46211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46211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46211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46211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46211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46211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46211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46211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46211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46211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46211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46211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46211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46211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46211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46211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46211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46211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46211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46211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46211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46211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46211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46211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46211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46211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46211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46211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46211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46211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46211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46211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46211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46211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46211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46211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46211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46211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46211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46211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46211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46211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46211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46211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46211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46211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46211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46211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46211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46211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46211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46211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46211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46211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46211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46211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46211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46211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46211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46211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46211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46211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46211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46211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46211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46211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46211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46211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46211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46211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46211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46211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46211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46211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46211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46211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46211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46211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46211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46211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46211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46211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46211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46211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46211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46211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46211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46211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46211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46211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46211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46211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46211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46211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46211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46211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46211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46211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46211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46211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46211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46211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46211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46211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46211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46211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46211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46211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46211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46211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46211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46211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46211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46211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46211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46211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46211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46211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46211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46211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46211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46211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46211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46211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46211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46211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46211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46211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46211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46211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46211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46211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46211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46211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46211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46211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46211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46211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46211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46211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46211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46211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46211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46211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46211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46211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46211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46211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46211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46211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46211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46211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46211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46211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46211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46211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46211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46211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46211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46211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46211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46211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46211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46211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46211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46211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46211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46211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46211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46211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46211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46211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46211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46211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46211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46211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46211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46211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46211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46211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46211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46211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46209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46211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46211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46211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46211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46211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46211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46211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46211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46211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46211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46211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46211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46211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46211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46211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46211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46211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46211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46211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46211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46211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46211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46211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46211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46211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46211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46211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46211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46211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46211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46211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46211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46211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46211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46211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46211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46211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46211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46211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46211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46211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46211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46211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46211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46211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46211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46211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46211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46211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46211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46211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46211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46211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46211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46211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46211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46211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46211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46211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46211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46211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46211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46211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46211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46211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46211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46211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46211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46211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46211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46211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46211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46211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46211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46211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46211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46211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46211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46211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46211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46211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46211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46211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46211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46211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46211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46211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46211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46211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46211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46211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46211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46211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46211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46211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46211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46211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46211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46211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46211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46211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46211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46211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46211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46211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46211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46211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46211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46211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46211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46211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46211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46211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46211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46211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46211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46211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46211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46211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46211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46211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46211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46211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46211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46211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46211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46211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46211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46211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46211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46211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46211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46211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46211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46211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46211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46211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46211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46211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46211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46211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46211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46211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46211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46211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46211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46211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46211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46211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46211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46211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46211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46211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46211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46211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46211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46211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46211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46211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46211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46211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46211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46211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46211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46211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46211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46211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46211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46211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46211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46211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46211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46211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46211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46211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46211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46211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46211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46211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46211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46211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46211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46211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46211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46211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46211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46211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46211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46211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46211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46211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46211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46211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46211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46211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46211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46211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46211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46211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46211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46211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46211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46211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46211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46211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46211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46211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46211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46211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46211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46211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46211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46211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46211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46211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46211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46211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46211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46211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46211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46211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46211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46211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46211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46211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46211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46211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46211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46211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46211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46211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46211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46211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46211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46211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46211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46211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46211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46211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46211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46211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46211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46211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46211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46211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46211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46211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46211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46211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46211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46211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46211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46211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46211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46211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46211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46211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46211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46211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46211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46211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46211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46211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46211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46211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46211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46211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46211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46211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46211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46211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46211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46211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46211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46210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46211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46211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46211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46211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46211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46211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46211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46211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46211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46211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46211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46211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46211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46211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46211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46211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46211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46211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46211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46211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46211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46211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46211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46211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46211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46211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46211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46211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46211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46211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46211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46211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46211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46211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46211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46211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46211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46211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46211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46211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46211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46211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46211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46211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46211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46211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46211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46211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46211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46211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46211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46211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46211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46211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46211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46211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46211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46211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46211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46211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46211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46211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46211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46211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46211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46211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46211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46211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46211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46211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46211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46211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46211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46211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46211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46211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46211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46211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46211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46211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46211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46211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46211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46211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46211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46211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46211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46211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46211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46211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46211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46211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46211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46211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46211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46211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46211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46211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46211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46211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46211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46211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46211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46211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46211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46211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46211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46211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46211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46211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46211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46211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46211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46211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46211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46211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46211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46211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46211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46211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46211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46211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46211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46211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46211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46211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46211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46211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46211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46211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46211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46211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46211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46211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46211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46211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46211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46211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46211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46211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46211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46211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46211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46211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46211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46211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46211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46211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46211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46211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46211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46211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46211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46211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46211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46211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46211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46211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46211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46211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46211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46211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46211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46211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46211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46211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46211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46211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46211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46211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46211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46211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46211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46211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46211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46211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46211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46211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46211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46211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46211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46211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46211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46211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46211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46211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46211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46211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46211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46211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46211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46211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46211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46211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46211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46211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46211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46211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46211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46211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46211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46211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46211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46211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46211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46211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46211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46211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46211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46211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46211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46211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46211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46211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46211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46211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46211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46211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46211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46211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46211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46211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46211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46211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46211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46211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46211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46211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46211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46211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46211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46211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46211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46211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46211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46211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46211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46211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46211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46211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46211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46211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46211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46211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46211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46211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46211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46211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46211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46211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46211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46211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46211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46211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46211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46211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46211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46211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46211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46211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46211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46211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46211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46211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46211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46211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46211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46211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46211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46211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46211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46211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46211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46211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46211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46211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46211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46211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46211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46211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46211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46211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46211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46211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46211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46211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46211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46211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46211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46211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46211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46211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46211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46211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46211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46211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46211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46211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46211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46211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46211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46211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46211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46211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46211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46211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46211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46211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46211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46211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46211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46211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46211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46211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46211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46211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46211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46211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46211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46211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46211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46211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46211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46211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46211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46211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46211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46211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46211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46211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46211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46211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46211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46211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46211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46211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46211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46211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46211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46211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46211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46211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46211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46211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46211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46211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46211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46211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46211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46211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46211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46211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46211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46211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46211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46211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46211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46211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46211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46211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46211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46211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46211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46211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46211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46211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46211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46211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46211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46211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46211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46211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46211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46211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46211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46211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46211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46211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46211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46211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46211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46211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46211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46211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46211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46211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46211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46211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46211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46211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46211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46211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46211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46211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46211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46211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46211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46211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46211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46211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46211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46211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46211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46211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46211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46211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46211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46211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46211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46211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46211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46211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46211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46211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46211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46211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46211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46211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46211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46211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46211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46211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46211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46211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46211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46211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46211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46211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46211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46211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46211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46211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46211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46211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46211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46211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46211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46211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46211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46211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46211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46211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46211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46211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46211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46211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46211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46211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46211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46211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46211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46211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46211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46211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46211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46211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46211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46211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46211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46211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46211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46211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46211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46211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46211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46211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46211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46211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46211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46211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46211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46211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46211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46211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46211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46211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46211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46211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46211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46211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46211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46211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46211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46211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46211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46211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46211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46211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46211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46211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46211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46211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46211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46211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46211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46211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46211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46211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46211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46211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46211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46211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46211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46211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46211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46211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46211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46211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46211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46211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46211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46211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46211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46211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46211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46211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46211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46211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46211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46211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46211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46211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46211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46211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46211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46211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46211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46211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46211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46211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46211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46211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46211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46211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46211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46211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46211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46211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46211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46211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46211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46211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46211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46211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46211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46211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46211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46211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46211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46211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46211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46211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46211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46211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46211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46211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46211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46211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46211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46211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46211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46211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46211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46211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46211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46211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46211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46211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46211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46211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46211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46211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46211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46211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46211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46211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46211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46211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46211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46211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46211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46211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46211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46211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46211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46211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46211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46211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46211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46211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46211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46211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46211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46211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46211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46211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46211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46211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46211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46211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46211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46211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46211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46211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46211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46211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46211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46211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46211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46211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46211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46211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46211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46211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46211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46211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46211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46211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46211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46211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46211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46211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46211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46211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46211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46211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46211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46211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46211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46211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46211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46211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46211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46211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46211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46211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46211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46211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46211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46211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46211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46211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46211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46211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46211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46211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46211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46211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46211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46211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46211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46211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46211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46211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46211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46211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46211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46211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46211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46211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46211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46211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46211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46211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46211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46211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46211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46211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46211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46211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46211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46211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46211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46211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46211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46211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46211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46211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46211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46211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46211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46211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46211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46211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46211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46211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46211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46211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46211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46211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46211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46211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46211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46211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46211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46211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46211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46211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46211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46211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46211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46211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46211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46211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46211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46211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46211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46211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46211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46211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46211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46211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46211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46211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46211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46211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46211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46211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46211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46211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46211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46211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46211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46211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46211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46211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46211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46211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46211</v>
      </c>
      <c r="G16006" s="2">
        <f>F16006-E16006+1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COUNTIF(Log!$C$2:$C$16006,A2)</f>
        <v/>
      </c>
      <c r="C2" s="2">
        <f>COUNTIFS(Log!$C$2:$C$16006,A2,Log!$F$2:$F$16006,Zusammenfassung!$B$2)</f>
        <v/>
      </c>
      <c r="D2" s="2">
        <f>COUNTIFS(Log!$C$2:$C$16006,A2,Log!$F$2:$F$16006,"&lt;"&amp;Zusammenfassung!$B$2)</f>
        <v/>
      </c>
      <c r="E2" s="2">
        <f>IFERROR(ROUND(AVERAGEIFS(Log!$G$2:$G$16006,Log!$C$2:$C$16006,A2,Log!$F$2:$F$16006,"&lt;"&amp;Zusammenfassung!$B$2),1),"")</f>
        <v/>
      </c>
    </row>
    <row r="3">
      <c r="A3" s="2" t="inlineStr">
        <is>
          <t>Gabelstaplerfahrer/in</t>
        </is>
      </c>
      <c r="B3" s="2">
        <f>COUNTIF(Log!$C$2:$C$16006,A3)</f>
        <v/>
      </c>
      <c r="C3" s="2">
        <f>COUNTIFS(Log!$C$2:$C$16006,A3,Log!$F$2:$F$16006,Zusammenfassung!$B$2)</f>
        <v/>
      </c>
      <c r="D3" s="2">
        <f>COUNTIFS(Log!$C$2:$C$16006,A3,Log!$F$2:$F$16006,"&lt;"&amp;Zusammenfassung!$B$2)</f>
        <v/>
      </c>
      <c r="E3" s="2">
        <f>IFERROR(ROUND(AVERAGEIFS(Log!$G$2:$G$16006,Log!$C$2:$C$16006,A3,Log!$F$2:$F$16006,"&lt;"&amp;Zusammenfassung!$B$2),1),"")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COUNTIF(Log!$C$2:$C$16006,A4)</f>
        <v/>
      </c>
      <c r="C4" s="2">
        <f>COUNTIFS(Log!$C$2:$C$16006,A4,Log!$F$2:$F$16006,Zusammenfassung!$B$2)</f>
        <v/>
      </c>
      <c r="D4" s="2">
        <f>COUNTIFS(Log!$C$2:$C$16006,A4,Log!$F$2:$F$16006,"&lt;"&amp;Zusammenfassung!$B$2)</f>
        <v/>
      </c>
      <c r="E4" s="2">
        <f>IFERROR(ROUND(AVERAGEIFS(Log!$G$2:$G$16006,Log!$C$2:$C$16006,A4,Log!$F$2:$F$16006,"&lt;"&amp;Zusammenfassung!$B$2),1),"")</f>
        <v/>
      </c>
    </row>
    <row r="5">
      <c r="A5" s="2" t="inlineStr">
        <is>
          <t>Helfer/in - Reinigung</t>
        </is>
      </c>
      <c r="B5" s="2">
        <f>COUNTIF(Log!$C$2:$C$16006,A5)</f>
        <v/>
      </c>
      <c r="C5" s="2">
        <f>COUNTIFS(Log!$C$2:$C$16006,A5,Log!$F$2:$F$16006,Zusammenfassung!$B$2)</f>
        <v/>
      </c>
      <c r="D5" s="2">
        <f>COUNTIFS(Log!$C$2:$C$16006,A5,Log!$F$2:$F$16006,"&lt;"&amp;Zusammenfassung!$B$2)</f>
        <v/>
      </c>
      <c r="E5" s="2">
        <f>IFERROR(ROUND(AVERAGEIFS(Log!$G$2:$G$16006,Log!$C$2:$C$16006,A5,Log!$F$2:$F$16006,"&lt;"&amp;Zusammenfassung!$B$2),1),"")</f>
        <v/>
      </c>
    </row>
    <row r="6">
      <c r="A6" s="2" t="inlineStr">
        <is>
          <t>Industriemechaniker/in</t>
        </is>
      </c>
      <c r="B6" s="2">
        <f>COUNTIF(Log!$C$2:$C$16006,A6)</f>
        <v/>
      </c>
      <c r="C6" s="2">
        <f>COUNTIFS(Log!$C$2:$C$16006,A6,Log!$F$2:$F$16006,Zusammenfassung!$B$2)</f>
        <v/>
      </c>
      <c r="D6" s="2">
        <f>COUNTIFS(Log!$C$2:$C$16006,A6,Log!$F$2:$F$16006,"&lt;"&amp;Zusammenfassung!$B$2)</f>
        <v/>
      </c>
      <c r="E6" s="2">
        <f>IFERROR(ROUND(AVERAGEIFS(Log!$G$2:$G$16006,Log!$C$2:$C$16006,A6,Log!$F$2:$F$16006,"&lt;"&amp;Zusammenfassung!$B$2),1),"")</f>
        <v/>
      </c>
    </row>
    <row r="7">
      <c r="A7" s="2" t="inlineStr">
        <is>
          <t>Fachkraft - Lagerlogistik</t>
        </is>
      </c>
      <c r="B7" s="2">
        <f>COUNTIF(Log!$C$2:$C$16006,A7)</f>
        <v/>
      </c>
      <c r="C7" s="2">
        <f>COUNTIFS(Log!$C$2:$C$16006,A7,Log!$F$2:$F$16006,Zusammenfassung!$B$2)</f>
        <v/>
      </c>
      <c r="D7" s="2">
        <f>COUNTIFS(Log!$C$2:$C$16006,A7,Log!$F$2:$F$16006,"&lt;"&amp;Zusammenfassung!$B$2)</f>
        <v/>
      </c>
      <c r="E7" s="2">
        <f>IFERROR(ROUND(AVERAGEIFS(Log!$G$2:$G$16006,Log!$C$2:$C$16006,A7,Log!$F$2:$F$16006,"&lt;"&amp;Zusammenfassung!$B$2),1),"")</f>
        <v/>
      </c>
    </row>
    <row r="8">
      <c r="A8" s="2" t="inlineStr">
        <is>
          <t>Berufskraftfahrer/in</t>
        </is>
      </c>
      <c r="B8" s="2">
        <f>COUNTIF(Log!$C$2:$C$16006,A8)</f>
        <v/>
      </c>
      <c r="C8" s="2">
        <f>COUNTIFS(Log!$C$2:$C$16006,A8,Log!$F$2:$F$16006,Zusammenfassung!$B$2)</f>
        <v/>
      </c>
      <c r="D8" s="2">
        <f>COUNTIFS(Log!$C$2:$C$16006,A8,Log!$F$2:$F$16006,"&lt;"&amp;Zusammenfassung!$B$2)</f>
        <v/>
      </c>
      <c r="E8" s="2">
        <f>IFERROR(ROUND(AVERAGEIFS(Log!$G$2:$G$16006,Log!$C$2:$C$16006,A8,Log!$F$2:$F$16006,"&lt;"&amp;Zusammenfassung!$B$2),1),"")</f>
        <v/>
      </c>
    </row>
    <row r="9">
      <c r="A9" s="2" t="inlineStr">
        <is>
          <t>Maschinen- und Anlagenführer/in (ohne Angabe des Schwerpunkts)</t>
        </is>
      </c>
      <c r="B9" s="2">
        <f>COUNTIF(Log!$C$2:$C$16006,A9)</f>
        <v/>
      </c>
      <c r="C9" s="2">
        <f>COUNTIFS(Log!$C$2:$C$16006,A9,Log!$F$2:$F$16006,Zusammenfassung!$B$2)</f>
        <v/>
      </c>
      <c r="D9" s="2">
        <f>COUNTIFS(Log!$C$2:$C$16006,A9,Log!$F$2:$F$16006,"&lt;"&amp;Zusammenfassung!$B$2)</f>
        <v/>
      </c>
      <c r="E9" s="2">
        <f>IFERROR(ROUND(AVERAGEIFS(Log!$G$2:$G$16006,Log!$C$2:$C$16006,A9,Log!$F$2:$F$16006,"&lt;"&amp;Zusammenfassung!$B$2),1),"")</f>
        <v/>
      </c>
    </row>
    <row r="10">
      <c r="A10" s="2" t="inlineStr">
        <is>
          <t>Helfer/in - Verkauf</t>
        </is>
      </c>
      <c r="B10" s="2">
        <f>COUNTIF(Log!$C$2:$C$16006,A10)</f>
        <v/>
      </c>
      <c r="C10" s="2">
        <f>COUNTIFS(Log!$C$2:$C$16006,A10,Log!$F$2:$F$16006,Zusammenfassung!$B$2)</f>
        <v/>
      </c>
      <c r="D10" s="2">
        <f>COUNTIFS(Log!$C$2:$C$16006,A10,Log!$F$2:$F$16006,"&lt;"&amp;Zusammenfassung!$B$2)</f>
        <v/>
      </c>
      <c r="E10" s="2">
        <f>IFERROR(ROUND(AVERAGEIFS(Log!$G$2:$G$16006,Log!$C$2:$C$16006,A10,Log!$F$2:$F$16006,"&lt;"&amp;Zusammenfassung!$B$2),1),"")</f>
        <v/>
      </c>
    </row>
    <row r="11">
      <c r="A11" s="2" t="inlineStr">
        <is>
          <t>Helfer/in - Metallbearbeitung</t>
        </is>
      </c>
      <c r="B11" s="2">
        <f>COUNTIF(Log!$C$2:$C$16006,A11)</f>
        <v/>
      </c>
      <c r="C11" s="2">
        <f>COUNTIFS(Log!$C$2:$C$16006,A11,Log!$F$2:$F$16006,Zusammenfassung!$B$2)</f>
        <v/>
      </c>
      <c r="D11" s="2">
        <f>COUNTIFS(Log!$C$2:$C$16006,A11,Log!$F$2:$F$16006,"&lt;"&amp;Zusammenfassung!$B$2)</f>
        <v/>
      </c>
      <c r="E11" s="2">
        <f>IFERROR(ROUND(AVERAGEIFS(Log!$G$2:$G$16006,Log!$C$2:$C$16006,A11,Log!$F$2:$F$16006,"&lt;"&amp;Zusammenfassung!$B$2),1),"")</f>
        <v/>
      </c>
    </row>
    <row r="12">
      <c r="A12" s="2" t="inlineStr">
        <is>
          <t>Lager- und Transportarbeiter/in</t>
        </is>
      </c>
      <c r="B12" s="2">
        <f>COUNTIF(Log!$C$2:$C$16006,A12)</f>
        <v/>
      </c>
      <c r="C12" s="2">
        <f>COUNTIFS(Log!$C$2:$C$16006,A12,Log!$F$2:$F$16006,Zusammenfassung!$B$2)</f>
        <v/>
      </c>
      <c r="D12" s="2">
        <f>COUNTIFS(Log!$C$2:$C$16006,A12,Log!$F$2:$F$16006,"&lt;"&amp;Zusammenfassung!$B$2)</f>
        <v/>
      </c>
      <c r="E12" s="2">
        <f>IFERROR(ROUND(AVERAGEIFS(Log!$G$2:$G$16006,Log!$C$2:$C$16006,A12,Log!$F$2:$F$16006,"&lt;"&amp;Zusammenfassung!$B$2),1),"")</f>
        <v/>
      </c>
    </row>
    <row r="13">
      <c r="A13" s="2" t="inlineStr">
        <is>
          <t>Erzieher/in</t>
        </is>
      </c>
      <c r="B13" s="2">
        <f>COUNTIF(Log!$C$2:$C$16006,A13)</f>
        <v/>
      </c>
      <c r="C13" s="2">
        <f>COUNTIFS(Log!$C$2:$C$16006,A13,Log!$F$2:$F$16006,Zusammenfassung!$B$2)</f>
        <v/>
      </c>
      <c r="D13" s="2">
        <f>COUNTIFS(Log!$C$2:$C$16006,A13,Log!$F$2:$F$16006,"&lt;"&amp;Zusammenfassung!$B$2)</f>
        <v/>
      </c>
      <c r="E13" s="2">
        <f>IFERROR(ROUND(AVERAGEIFS(Log!$G$2:$G$16006,Log!$C$2:$C$16006,A13,Log!$F$2:$F$16006,"&lt;"&amp;Zusammenfassung!$B$2),1),"")</f>
        <v/>
      </c>
    </row>
    <row r="14">
      <c r="A14" s="2" t="inlineStr">
        <is>
          <t>Zerspanungsmechaniker/in</t>
        </is>
      </c>
      <c r="B14" s="2">
        <f>COUNTIF(Log!$C$2:$C$16006,A14)</f>
        <v/>
      </c>
      <c r="C14" s="2">
        <f>COUNTIFS(Log!$C$2:$C$16006,A14,Log!$F$2:$F$16006,Zusammenfassung!$B$2)</f>
        <v/>
      </c>
      <c r="D14" s="2">
        <f>COUNTIFS(Log!$C$2:$C$16006,A14,Log!$F$2:$F$16006,"&lt;"&amp;Zusammenfassung!$B$2)</f>
        <v/>
      </c>
      <c r="E14" s="2">
        <f>IFERROR(ROUND(AVERAGEIFS(Log!$G$2:$G$16006,Log!$C$2:$C$16006,A14,Log!$F$2:$F$16006,"&lt;"&amp;Zusammenfassung!$B$2),1),"")</f>
        <v/>
      </c>
    </row>
    <row r="15">
      <c r="A15" s="2" t="inlineStr">
        <is>
          <t>Ingenieur/in - Elektrotechnik</t>
        </is>
      </c>
      <c r="B15" s="2">
        <f>COUNTIF(Log!$C$2:$C$16006,A15)</f>
        <v/>
      </c>
      <c r="C15" s="2">
        <f>COUNTIFS(Log!$C$2:$C$16006,A15,Log!$F$2:$F$16006,Zusammenfassung!$B$2)</f>
        <v/>
      </c>
      <c r="D15" s="2">
        <f>COUNTIFS(Log!$C$2:$C$16006,A15,Log!$F$2:$F$16006,"&lt;"&amp;Zusammenfassung!$B$2)</f>
        <v/>
      </c>
      <c r="E15" s="2">
        <f>IFERROR(ROUND(AVERAGEIFS(Log!$G$2:$G$16006,Log!$C$2:$C$16006,A15,Log!$F$2:$F$16006,"&lt;"&amp;Zusammenfassung!$B$2),1),"")</f>
        <v/>
      </c>
    </row>
    <row r="16">
      <c r="A16" s="2" t="inlineStr">
        <is>
          <t>Altenpfleger/in</t>
        </is>
      </c>
      <c r="B16" s="2">
        <f>COUNTIF(Log!$C$2:$C$16006,A16)</f>
        <v/>
      </c>
      <c r="C16" s="2">
        <f>COUNTIFS(Log!$C$2:$C$16006,A16,Log!$F$2:$F$16006,Zusammenfassung!$B$2)</f>
        <v/>
      </c>
      <c r="D16" s="2">
        <f>COUNTIFS(Log!$C$2:$C$16006,A16,Log!$F$2:$F$16006,"&lt;"&amp;Zusammenfassung!$B$2)</f>
        <v/>
      </c>
      <c r="E16" s="2">
        <f>IFERROR(ROUND(AVERAGEIFS(Log!$G$2:$G$16006,Log!$C$2:$C$16006,A16,Log!$F$2:$F$16006,"&lt;"&amp;Zusammenfassung!$B$2),1),"")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COUNTIF(Log!$C$2:$C$16006,A17)</f>
        <v/>
      </c>
      <c r="C17" s="2">
        <f>COUNTIFS(Log!$C$2:$C$16006,A17,Log!$F$2:$F$16006,Zusammenfassung!$B$2)</f>
        <v/>
      </c>
      <c r="D17" s="2">
        <f>COUNTIFS(Log!$C$2:$C$16006,A17,Log!$F$2:$F$16006,"&lt;"&amp;Zusammenfassung!$B$2)</f>
        <v/>
      </c>
      <c r="E17" s="2">
        <f>IFERROR(ROUND(AVERAGEIFS(Log!$G$2:$G$16006,Log!$C$2:$C$16006,A17,Log!$F$2:$F$16006,"&lt;"&amp;Zusammenfassung!$B$2),1),"")</f>
        <v/>
      </c>
    </row>
    <row r="18">
      <c r="A18" s="2" t="inlineStr">
        <is>
          <t>Mechatroniker/in</t>
        </is>
      </c>
      <c r="B18" s="2">
        <f>COUNTIF(Log!$C$2:$C$16006,A18)</f>
        <v/>
      </c>
      <c r="C18" s="2">
        <f>COUNTIFS(Log!$C$2:$C$16006,A18,Log!$F$2:$F$16006,Zusammenfassung!$B$2)</f>
        <v/>
      </c>
      <c r="D18" s="2">
        <f>COUNTIFS(Log!$C$2:$C$16006,A18,Log!$F$2:$F$16006,"&lt;"&amp;Zusammenfassung!$B$2)</f>
        <v/>
      </c>
      <c r="E18" s="2">
        <f>IFERROR(ROUND(AVERAGEIFS(Log!$G$2:$G$16006,Log!$C$2:$C$16006,A18,Log!$F$2:$F$16006,"&lt;"&amp;Zusammenfassung!$B$2),1),"")</f>
        <v/>
      </c>
    </row>
    <row r="19">
      <c r="A19" s="2" t="inlineStr">
        <is>
          <t>Montierer/in</t>
        </is>
      </c>
      <c r="B19" s="2">
        <f>COUNTIF(Log!$C$2:$C$16006,A19)</f>
        <v/>
      </c>
      <c r="C19" s="2">
        <f>COUNTIFS(Log!$C$2:$C$16006,A19,Log!$F$2:$F$16006,Zusammenfassung!$B$2)</f>
        <v/>
      </c>
      <c r="D19" s="2">
        <f>COUNTIFS(Log!$C$2:$C$16006,A19,Log!$F$2:$F$16006,"&lt;"&amp;Zusammenfassung!$B$2)</f>
        <v/>
      </c>
      <c r="E19" s="2">
        <f>IFERROR(ROUND(AVERAGEIFS(Log!$G$2:$G$16006,Log!$C$2:$C$16006,A19,Log!$F$2:$F$16006,"&lt;"&amp;Zusammenfassung!$B$2),1),"")</f>
        <v/>
      </c>
    </row>
    <row r="20">
      <c r="A20" s="2" t="inlineStr">
        <is>
          <t>Koch/Köchin</t>
        </is>
      </c>
      <c r="B20" s="2">
        <f>COUNTIF(Log!$C$2:$C$16006,A20)</f>
        <v/>
      </c>
      <c r="C20" s="2">
        <f>COUNTIFS(Log!$C$2:$C$16006,A20,Log!$F$2:$F$16006,Zusammenfassung!$B$2)</f>
        <v/>
      </c>
      <c r="D20" s="2">
        <f>COUNTIFS(Log!$C$2:$C$16006,A20,Log!$F$2:$F$16006,"&lt;"&amp;Zusammenfassung!$B$2)</f>
        <v/>
      </c>
      <c r="E20" s="2">
        <f>IFERROR(ROUND(AVERAGEIFS(Log!$G$2:$G$16006,Log!$C$2:$C$16006,A20,Log!$F$2:$F$16006,"&lt;"&amp;Zusammenfassung!$B$2),1),"")</f>
        <v/>
      </c>
    </row>
    <row r="21">
      <c r="A21" s="2" t="inlineStr">
        <is>
          <t>Elektroniker/in - Betriebstechnik</t>
        </is>
      </c>
      <c r="B21" s="2">
        <f>COUNTIF(Log!$C$2:$C$16006,A21)</f>
        <v/>
      </c>
      <c r="C21" s="2">
        <f>COUNTIFS(Log!$C$2:$C$16006,A21,Log!$F$2:$F$16006,Zusammenfassung!$B$2)</f>
        <v/>
      </c>
      <c r="D21" s="2">
        <f>COUNTIFS(Log!$C$2:$C$16006,A21,Log!$F$2:$F$16006,"&lt;"&amp;Zusammenfassung!$B$2)</f>
        <v/>
      </c>
      <c r="E21" s="2">
        <f>IFERROR(ROUND(AVERAGEIFS(Log!$G$2:$G$16006,Log!$C$2:$C$16006,A21,Log!$F$2:$F$16006,"&lt;"&amp;Zusammenfassung!$B$2),1),"")</f>
        <v/>
      </c>
    </row>
    <row r="22">
      <c r="A22" s="2" t="inlineStr">
        <is>
          <t>Fachlagerist/in</t>
        </is>
      </c>
      <c r="B22" s="2">
        <f>COUNTIF(Log!$C$2:$C$16006,A22)</f>
        <v/>
      </c>
      <c r="C22" s="2">
        <f>COUNTIFS(Log!$C$2:$C$16006,A22,Log!$F$2:$F$16006,Zusammenfassung!$B$2)</f>
        <v/>
      </c>
      <c r="D22" s="2">
        <f>COUNTIFS(Log!$C$2:$C$16006,A22,Log!$F$2:$F$16006,"&lt;"&amp;Zusammenfassung!$B$2)</f>
        <v/>
      </c>
      <c r="E22" s="2">
        <f>IFERROR(ROUND(AVERAGEIFS(Log!$G$2:$G$16006,Log!$C$2:$C$16006,A22,Log!$F$2:$F$16006,"&lt;"&amp;Zusammenfassung!$B$2),1),"")</f>
        <v/>
      </c>
    </row>
    <row r="23">
      <c r="A23" s="2" t="inlineStr">
        <is>
          <t>Gesundheits- und Krankenpfleger/in</t>
        </is>
      </c>
      <c r="B23" s="2">
        <f>COUNTIF(Log!$C$2:$C$16006,A23)</f>
        <v/>
      </c>
      <c r="C23" s="2">
        <f>COUNTIFS(Log!$C$2:$C$16006,A23,Log!$F$2:$F$16006,Zusammenfassung!$B$2)</f>
        <v/>
      </c>
      <c r="D23" s="2">
        <f>COUNTIFS(Log!$C$2:$C$16006,A23,Log!$F$2:$F$16006,"&lt;"&amp;Zusammenfassung!$B$2)</f>
        <v/>
      </c>
      <c r="E23" s="2">
        <f>IFERROR(ROUND(AVERAGEIFS(Log!$G$2:$G$16006,Log!$C$2:$C$16006,A23,Log!$F$2:$F$16006,"&lt;"&amp;Zusammenfassung!$B$2),1),"")</f>
        <v/>
      </c>
    </row>
    <row r="24">
      <c r="A24" s="2" t="inlineStr">
        <is>
          <t>Anlagenmechaniker/in - Sanitär-, Heizungs- und Klimatechnik</t>
        </is>
      </c>
      <c r="B24" s="2">
        <f>COUNTIF(Log!$C$2:$C$16006,A24)</f>
        <v/>
      </c>
      <c r="C24" s="2">
        <f>COUNTIFS(Log!$C$2:$C$16006,A24,Log!$F$2:$F$16006,Zusammenfassung!$B$2)</f>
        <v/>
      </c>
      <c r="D24" s="2">
        <f>COUNTIFS(Log!$C$2:$C$16006,A24,Log!$F$2:$F$16006,"&lt;"&amp;Zusammenfassung!$B$2)</f>
        <v/>
      </c>
      <c r="E24" s="2">
        <f>IFERROR(ROUND(AVERAGEIFS(Log!$G$2:$G$16006,Log!$C$2:$C$16006,A24,Log!$F$2:$F$16006,"&lt;"&amp;Zusammenfassung!$B$2),1),"")</f>
        <v/>
      </c>
    </row>
    <row r="25">
      <c r="A25" s="2" t="inlineStr">
        <is>
          <t>Bürokaufmann/-frau</t>
        </is>
      </c>
      <c r="B25" s="2">
        <f>COUNTIF(Log!$C$2:$C$16006,A25)</f>
        <v/>
      </c>
      <c r="C25" s="2">
        <f>COUNTIFS(Log!$C$2:$C$16006,A25,Log!$F$2:$F$16006,Zusammenfassung!$B$2)</f>
        <v/>
      </c>
      <c r="D25" s="2">
        <f>COUNTIFS(Log!$C$2:$C$16006,A25,Log!$F$2:$F$16006,"&lt;"&amp;Zusammenfassung!$B$2)</f>
        <v/>
      </c>
      <c r="E25" s="2">
        <f>IFERROR(ROUND(AVERAGEIFS(Log!$G$2:$G$16006,Log!$C$2:$C$16006,A25,Log!$F$2:$F$16006,"&lt;"&amp;Zusammenfassung!$B$2),1),"")</f>
        <v/>
      </c>
    </row>
    <row r="26">
      <c r="A26" s="2" t="inlineStr">
        <is>
          <t>Medizinische/r Fachangestellte/r</t>
        </is>
      </c>
      <c r="B26" s="2">
        <f>COUNTIF(Log!$C$2:$C$16006,A26)</f>
        <v/>
      </c>
      <c r="C26" s="2">
        <f>COUNTIFS(Log!$C$2:$C$16006,A26,Log!$F$2:$F$16006,Zusammenfassung!$B$2)</f>
        <v/>
      </c>
      <c r="D26" s="2">
        <f>COUNTIFS(Log!$C$2:$C$16006,A26,Log!$F$2:$F$16006,"&lt;"&amp;Zusammenfassung!$B$2)</f>
        <v/>
      </c>
      <c r="E26" s="2">
        <f>IFERROR(ROUND(AVERAGEIFS(Log!$G$2:$G$16006,Log!$C$2:$C$16006,A26,Log!$F$2:$F$16006,"&lt;"&amp;Zusammenfassung!$B$2),1),"")</f>
        <v/>
      </c>
    </row>
    <row r="27">
      <c r="A27" s="2" t="inlineStr">
        <is>
          <t>Elektroniker/in - Energie- und Gebäudetechnik</t>
        </is>
      </c>
      <c r="B27" s="2">
        <f>COUNTIF(Log!$C$2:$C$16006,A27)</f>
        <v/>
      </c>
      <c r="C27" s="2">
        <f>COUNTIFS(Log!$C$2:$C$16006,A27,Log!$F$2:$F$16006,Zusammenfassung!$B$2)</f>
        <v/>
      </c>
      <c r="D27" s="2">
        <f>COUNTIFS(Log!$C$2:$C$16006,A27,Log!$F$2:$F$16006,"&lt;"&amp;Zusammenfassung!$B$2)</f>
        <v/>
      </c>
      <c r="E27" s="2">
        <f>IFERROR(ROUND(AVERAGEIFS(Log!$G$2:$G$16006,Log!$C$2:$C$16006,A27,Log!$F$2:$F$16006,"&lt;"&amp;Zusammenfassung!$B$2),1),"")</f>
        <v/>
      </c>
    </row>
    <row r="28">
      <c r="A28" s="2" t="inlineStr">
        <is>
          <t>Helfer/in - Elektro</t>
        </is>
      </c>
      <c r="B28" s="2">
        <f>COUNTIF(Log!$C$2:$C$16006,A28)</f>
        <v/>
      </c>
      <c r="C28" s="2">
        <f>COUNTIFS(Log!$C$2:$C$16006,A28,Log!$F$2:$F$16006,Zusammenfassung!$B$2)</f>
        <v/>
      </c>
      <c r="D28" s="2">
        <f>COUNTIFS(Log!$C$2:$C$16006,A28,Log!$F$2:$F$16006,"&lt;"&amp;Zusammenfassung!$B$2)</f>
        <v/>
      </c>
      <c r="E28" s="2">
        <f>IFERROR(ROUND(AVERAGEIFS(Log!$G$2:$G$16006,Log!$C$2:$C$16006,A28,Log!$F$2:$F$16006,"&lt;"&amp;Zusammenfassung!$B$2),1),"")</f>
        <v/>
      </c>
    </row>
    <row r="29">
      <c r="A29" s="2" t="inlineStr">
        <is>
          <t>IT-Systemadministrator/in</t>
        </is>
      </c>
      <c r="B29" s="2">
        <f>COUNTIF(Log!$C$2:$C$16006,A29)</f>
        <v/>
      </c>
      <c r="C29" s="2">
        <f>COUNTIFS(Log!$C$2:$C$16006,A29,Log!$F$2:$F$16006,Zusammenfassung!$B$2)</f>
        <v/>
      </c>
      <c r="D29" s="2">
        <f>COUNTIFS(Log!$C$2:$C$16006,A29,Log!$F$2:$F$16006,"&lt;"&amp;Zusammenfassung!$B$2)</f>
        <v/>
      </c>
      <c r="E29" s="2">
        <f>IFERROR(ROUND(AVERAGEIFS(Log!$G$2:$G$16006,Log!$C$2:$C$16006,A29,Log!$F$2:$F$16006,"&lt;"&amp;Zusammenfassung!$B$2),1),"")</f>
        <v/>
      </c>
    </row>
    <row r="30">
      <c r="A30" s="2" t="inlineStr">
        <is>
          <t>Kommissionierer/in</t>
        </is>
      </c>
      <c r="B30" s="2">
        <f>COUNTIF(Log!$C$2:$C$16006,A30)</f>
        <v/>
      </c>
      <c r="C30" s="2">
        <f>COUNTIFS(Log!$C$2:$C$16006,A30,Log!$F$2:$F$16006,Zusammenfassung!$B$2)</f>
        <v/>
      </c>
      <c r="D30" s="2">
        <f>COUNTIFS(Log!$C$2:$C$16006,A30,Log!$F$2:$F$16006,"&lt;"&amp;Zusammenfassung!$B$2)</f>
        <v/>
      </c>
      <c r="E30" s="2">
        <f>IFERROR(ROUND(AVERAGEIFS(Log!$G$2:$G$16006,Log!$C$2:$C$16006,A30,Log!$F$2:$F$16006,"&lt;"&amp;Zusammenfassung!$B$2),1),"")</f>
        <v/>
      </c>
    </row>
    <row r="31">
      <c r="A31" s="2" t="inlineStr">
        <is>
          <t>Schweißer/in</t>
        </is>
      </c>
      <c r="B31" s="2">
        <f>COUNTIF(Log!$C$2:$C$16006,A31)</f>
        <v/>
      </c>
      <c r="C31" s="2">
        <f>COUNTIFS(Log!$C$2:$C$16006,A31,Log!$F$2:$F$16006,Zusammenfassung!$B$2)</f>
        <v/>
      </c>
      <c r="D31" s="2">
        <f>COUNTIFS(Log!$C$2:$C$16006,A31,Log!$F$2:$F$16006,"&lt;"&amp;Zusammenfassung!$B$2)</f>
        <v/>
      </c>
      <c r="E31" s="2">
        <f>IFERROR(ROUND(AVERAGEIFS(Log!$G$2:$G$16006,Log!$C$2:$C$16006,A31,Log!$F$2:$F$16006,"&lt;"&amp;Zusammenfassung!$B$2),1),"")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COUNTIFS(Log!$D$2:$D$16006,A2,Log!$F$2:$F$16006,Zusammenfassung!$B$2)</f>
        <v/>
      </c>
      <c r="C2" s="2">
        <f>COUNTIF(Log!$D$2:$D$16006,A2)</f>
        <v/>
      </c>
    </row>
    <row r="3">
      <c r="A3" s="2" t="inlineStr">
        <is>
          <t>DEKRA Arbeit GmbH</t>
        </is>
      </c>
      <c r="B3" s="2">
        <f>COUNTIFS(Log!$D$2:$D$16006,A3,Log!$F$2:$F$16006,Zusammenfassung!$B$2)</f>
        <v/>
      </c>
      <c r="C3" s="2">
        <f>COUNTIF(Log!$D$2:$D$16006,A3)</f>
        <v/>
      </c>
    </row>
    <row r="4">
      <c r="A4" s="2" t="inlineStr">
        <is>
          <t>Lidl Dienstleistung GmbH &amp; Co. KG</t>
        </is>
      </c>
      <c r="B4" s="2">
        <f>COUNTIFS(Log!$D$2:$D$16006,A4,Log!$F$2:$F$16006,Zusammenfassung!$B$2)</f>
        <v/>
      </c>
      <c r="C4" s="2">
        <f>COUNTIF(Log!$D$2:$D$16006,A4)</f>
        <v/>
      </c>
    </row>
    <row r="5">
      <c r="A5" s="2" t="inlineStr">
        <is>
          <t>Netto Marken-Discount Stiftung &amp; Co. KG</t>
        </is>
      </c>
      <c r="B5" s="2">
        <f>COUNTIFS(Log!$D$2:$D$16006,A5,Log!$F$2:$F$16006,Zusammenfassung!$B$2)</f>
        <v/>
      </c>
      <c r="C5" s="2">
        <f>COUNTIF(Log!$D$2:$D$16006,A5)</f>
        <v/>
      </c>
    </row>
    <row r="6">
      <c r="A6" s="2" t="inlineStr">
        <is>
          <t>SOCCO GROUP GmbH NL Schorndorf</t>
        </is>
      </c>
      <c r="B6" s="2">
        <f>COUNTIFS(Log!$D$2:$D$16006,A6,Log!$F$2:$F$16006,Zusammenfassung!$B$2)</f>
        <v/>
      </c>
      <c r="C6" s="2">
        <f>COUNTIF(Log!$D$2:$D$16006,A6)</f>
        <v/>
      </c>
    </row>
    <row r="7">
      <c r="A7" s="2" t="inlineStr">
        <is>
          <t>JobImpulse Süd GmbH Esslingen</t>
        </is>
      </c>
      <c r="B7" s="2">
        <f>COUNTIFS(Log!$D$2:$D$16006,A7,Log!$F$2:$F$16006,Zusammenfassung!$B$2)</f>
        <v/>
      </c>
      <c r="C7" s="2">
        <f>COUNTIF(Log!$D$2:$D$16006,A7)</f>
        <v/>
      </c>
    </row>
    <row r="8">
      <c r="A8" s="2" t="inlineStr">
        <is>
          <t>temPERSO Rummel &amp; Glass GmbH</t>
        </is>
      </c>
      <c r="B8" s="2">
        <f>COUNTIFS(Log!$D$2:$D$16006,A8,Log!$F$2:$F$16006,Zusammenfassung!$B$2)</f>
        <v/>
      </c>
      <c r="C8" s="2">
        <f>COUNTIF(Log!$D$2:$D$16006,A8)</f>
        <v/>
      </c>
    </row>
    <row r="9">
      <c r="A9" s="2" t="inlineStr">
        <is>
          <t>Tempton Personaldienstleistungen GmbH NL Ludwigsburg</t>
        </is>
      </c>
      <c r="B9" s="2">
        <f>COUNTIFS(Log!$D$2:$D$16006,A9,Log!$F$2:$F$16006,Zusammenfassung!$B$2)</f>
        <v/>
      </c>
      <c r="C9" s="2">
        <f>COUNTIF(Log!$D$2:$D$16006,A9)</f>
        <v/>
      </c>
    </row>
    <row r="10">
      <c r="A10" s="2" t="inlineStr">
        <is>
          <t>K-Plus Personalmanagement GmbH</t>
        </is>
      </c>
      <c r="B10" s="2">
        <f>COUNTIFS(Log!$D$2:$D$16006,A10,Log!$F$2:$F$16006,Zusammenfassung!$B$2)</f>
        <v/>
      </c>
      <c r="C10" s="2">
        <f>COUNTIF(Log!$D$2:$D$16006,A10)</f>
        <v/>
      </c>
    </row>
    <row r="11">
      <c r="A11" s="2" t="inlineStr">
        <is>
          <t>Randstad Deutschland</t>
        </is>
      </c>
      <c r="B11" s="2">
        <f>COUNTIFS(Log!$D$2:$D$16006,A11,Log!$F$2:$F$16006,Zusammenfassung!$B$2)</f>
        <v/>
      </c>
      <c r="C11" s="2">
        <f>COUNTIF(Log!$D$2:$D$16006,A11)</f>
        <v/>
      </c>
    </row>
    <row r="12">
      <c r="A12" s="2" t="inlineStr">
        <is>
          <t>Diakonie Stetten e.V.</t>
        </is>
      </c>
      <c r="B12" s="2">
        <f>COUNTIFS(Log!$D$2:$D$16006,A12,Log!$F$2:$F$16006,Zusammenfassung!$B$2)</f>
        <v/>
      </c>
      <c r="C12" s="2">
        <f>COUNTIF(Log!$D$2:$D$16006,A12)</f>
        <v/>
      </c>
    </row>
    <row r="13">
      <c r="A13" s="2" t="inlineStr">
        <is>
          <t>Tempton Personaldienstleistungen GmbH NL Aalen</t>
        </is>
      </c>
      <c r="B13" s="2">
        <f>COUNTIFS(Log!$D$2:$D$16006,A13,Log!$F$2:$F$16006,Zusammenfassung!$B$2)</f>
        <v/>
      </c>
      <c r="C13" s="2">
        <f>COUNTIF(Log!$D$2:$D$16006,A13)</f>
        <v/>
      </c>
    </row>
    <row r="14">
      <c r="A14" s="2" t="inlineStr">
        <is>
          <t>Pflegewerk GmbH</t>
        </is>
      </c>
      <c r="B14" s="2">
        <f>COUNTIFS(Log!$D$2:$D$16006,A14,Log!$F$2:$F$16006,Zusammenfassung!$B$2)</f>
        <v/>
      </c>
      <c r="C14" s="2">
        <f>COUNTIF(Log!$D$2:$D$16006,A14)</f>
        <v/>
      </c>
    </row>
    <row r="15">
      <c r="A15" s="2" t="inlineStr">
        <is>
          <t>REWE Markt GmbH ZwNL Südwest</t>
        </is>
      </c>
      <c r="B15" s="2">
        <f>COUNTIFS(Log!$D$2:$D$16006,A15,Log!$F$2:$F$16006,Zusammenfassung!$B$2)</f>
        <v/>
      </c>
      <c r="C15" s="2">
        <f>COUNTIF(Log!$D$2:$D$16006,A15)</f>
        <v/>
      </c>
    </row>
    <row r="16">
      <c r="A16" s="2" t="inlineStr">
        <is>
          <t>tempster GmbH</t>
        </is>
      </c>
      <c r="B16" s="2">
        <f>COUNTIFS(Log!$D$2:$D$16006,A16,Log!$F$2:$F$16006,Zusammenfassung!$B$2)</f>
        <v/>
      </c>
      <c r="C16" s="2">
        <f>COUNTIF(Log!$D$2:$D$16006,A16)</f>
        <v/>
      </c>
    </row>
    <row r="17">
      <c r="A17" s="2" t="inlineStr">
        <is>
          <t>Kliniken Ostalb</t>
        </is>
      </c>
      <c r="B17" s="2">
        <f>COUNTIFS(Log!$D$2:$D$16006,A17,Log!$F$2:$F$16006,Zusammenfassung!$B$2)</f>
        <v/>
      </c>
      <c r="C17" s="2">
        <f>COUNTIF(Log!$D$2:$D$16006,A17)</f>
        <v/>
      </c>
    </row>
    <row r="18">
      <c r="A18" s="2" t="inlineStr">
        <is>
          <t>Waiblinger Zeitarbeit GmbH</t>
        </is>
      </c>
      <c r="B18" s="2">
        <f>COUNTIFS(Log!$D$2:$D$16006,A18,Log!$F$2:$F$16006,Zusammenfassung!$B$2)</f>
        <v/>
      </c>
      <c r="C18" s="2">
        <f>COUNTIF(Log!$D$2:$D$16006,A18)</f>
        <v/>
      </c>
    </row>
    <row r="19">
      <c r="A19" s="2" t="inlineStr">
        <is>
          <t>SOCCO Leonberg GmbH</t>
        </is>
      </c>
      <c r="B19" s="2">
        <f>COUNTIFS(Log!$D$2:$D$16006,A19,Log!$F$2:$F$16006,Zusammenfassung!$B$2)</f>
        <v/>
      </c>
      <c r="C19" s="2">
        <f>COUNTIF(Log!$D$2:$D$16006,A19)</f>
        <v/>
      </c>
    </row>
    <row r="20">
      <c r="A20" s="2" t="inlineStr">
        <is>
          <t>PSAV Personalserv.&amp;Arbeitsverm</t>
        </is>
      </c>
      <c r="B20" s="2">
        <f>COUNTIFS(Log!$D$2:$D$16006,A20,Log!$F$2:$F$16006,Zusammenfassung!$B$2)</f>
        <v/>
      </c>
      <c r="C20" s="2">
        <f>COUNTIF(Log!$D$2:$D$16006,A20)</f>
        <v/>
      </c>
    </row>
    <row r="21">
      <c r="A21" s="2" t="inlineStr">
        <is>
          <t>REWE</t>
        </is>
      </c>
      <c r="B21" s="2">
        <f>COUNTIFS(Log!$D$2:$D$16006,A21,Log!$F$2:$F$16006,Zusammenfassung!$B$2)</f>
        <v/>
      </c>
      <c r="C21" s="2">
        <f>COUNTIF(Log!$D$2:$D$16006,A21)</f>
        <v/>
      </c>
    </row>
    <row r="22">
      <c r="A22" s="2" t="inlineStr">
        <is>
          <t>TOP Personaldienstleistungen GmbH</t>
        </is>
      </c>
      <c r="B22" s="2">
        <f>COUNTIFS(Log!$D$2:$D$16006,A22,Log!$F$2:$F$16006,Zusammenfassung!$B$2)</f>
        <v/>
      </c>
      <c r="C22" s="2">
        <f>COUNTIF(Log!$D$2:$D$16006,A22)</f>
        <v/>
      </c>
    </row>
    <row r="23">
      <c r="A23" s="2" t="inlineStr">
        <is>
          <t>Klinikum der Landeshauptstadt Stuttgart gKAöR</t>
        </is>
      </c>
      <c r="B23" s="2">
        <f>COUNTIFS(Log!$D$2:$D$16006,A23,Log!$F$2:$F$16006,Zusammenfassung!$B$2)</f>
        <v/>
      </c>
      <c r="C23" s="2">
        <f>COUNTIF(Log!$D$2:$D$16006,A23)</f>
        <v/>
      </c>
    </row>
    <row r="24">
      <c r="A24" s="2" t="inlineStr">
        <is>
          <t>FERCHAU GmbH Niederlassung Heidenheim</t>
        </is>
      </c>
      <c r="B24" s="2">
        <f>COUNTIFS(Log!$D$2:$D$16006,A24,Log!$F$2:$F$16006,Zusammenfassung!$B$2)</f>
        <v/>
      </c>
      <c r="C24" s="2">
        <f>COUNTIF(Log!$D$2:$D$16006,A24)</f>
        <v/>
      </c>
    </row>
    <row r="25">
      <c r="A25" s="2" t="inlineStr">
        <is>
          <t>FERCHAU GmbH Niederlassung Stuttgart Mobility</t>
        </is>
      </c>
      <c r="B25" s="2">
        <f>COUNTIFS(Log!$D$2:$D$16006,A25,Log!$F$2:$F$16006,Zusammenfassung!$B$2)</f>
        <v/>
      </c>
      <c r="C25" s="2">
        <f>COUNTIF(Log!$D$2:$D$16006,A25)</f>
        <v/>
      </c>
    </row>
    <row r="26">
      <c r="A26" s="2" t="inlineStr">
        <is>
          <t>All-Jobs SHA Personalservice GmbH</t>
        </is>
      </c>
      <c r="B26" s="2">
        <f>COUNTIFS(Log!$D$2:$D$16006,A26,Log!$F$2:$F$16006,Zusammenfassung!$B$2)</f>
        <v/>
      </c>
      <c r="C26" s="2">
        <f>COUNTIF(Log!$D$2:$D$16006,A26)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Fachkraft - Lagerlogistik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Berufskraftfahrer/in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Lager- und Transportarbeiter/in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Maschinen- und Anlagenführer/in (ohne Angabe des Schwerpunkts)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Helfer/in - Verkauf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Helfer/in - Metallbearbeitung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Erzieher/in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Altenpfleger/in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Filialleiter/in, Verkaufsstellenleiter/in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Mechatroniker/in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Fachlagerist/in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Gesundheits- und Krankenpfleger/in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2026-07-08T15:01:57Z</dcterms:created>
  <dcterms:modified xsi:type="dcterms:W3CDTF">2026-07-08T15:02:02Z</dcterms:modified>
</cp:coreProperties>
</file>