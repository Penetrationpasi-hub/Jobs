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0.0%"/>
    <numFmt numFmtId="167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2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0" fontId="4" fillId="0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'Zeitreihe'!$A$2:$A$6</f>
            </numRef>
          </cat>
          <val>
            <numRef>
              <f>'Zeitreihe'!$B$2:$B$6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'Zeitreihe'!$A$2:$A$6</f>
            </numRef>
          </cat>
          <val>
            <numRef>
              <f>'Zeitreihe'!$C$2:$C$6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'Zeitreihe'!$A$2:$A$6</f>
            </numRef>
          </cat>
          <val>
            <numRef>
              <f>'Zeitreihe'!$D$2:$D$6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'Zeitreihe'!$A$2:$A$6</f>
            </numRef>
          </cat>
          <val>
            <numRef>
              <f>'Zeitreihe'!$E$2:$E$6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46213</v>
      </c>
    </row>
    <row r="3">
      <c r="A3" s="3" t="inlineStr">
        <is>
          <t>Erhebungstage</t>
        </is>
      </c>
      <c r="B3" s="2" t="n">
        <v>5</v>
      </c>
    </row>
    <row r="4">
      <c r="A4" s="3" t="inlineStr">
        <is>
          <t>Regionen</t>
        </is>
      </c>
      <c r="B4" s="2" t="inlineStr">
        <is>
          <t>Ostalbkreis, Rems-Murr-Kreis, Waiblingen 30 km, Waiblingen 15 km (alt)</t>
        </is>
      </c>
    </row>
    <row r="5">
      <c r="A5" s="3" t="inlineStr">
        <is>
          <t>Stellen je gesehen (Log)</t>
        </is>
      </c>
      <c r="B5" s="2" t="n">
        <v>17303</v>
      </c>
    </row>
    <row r="6">
      <c r="A6" s="3" t="inlineStr">
        <is>
          <t>Erhebungszeitraum (Wochen)</t>
        </is>
      </c>
      <c r="B6" s="5" t="n">
        <v>0.71</v>
      </c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Standzeit-Blatt: 'Beendete pro Woche in % der offenen Stellen' ist die Umschlaggeschwindigkeit des Bestands. Beispiel: 5 % heisst, der aktuelle Bestand waere rechnerisch in rund 20 Wochen einmal komplett erneuert.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18" customWidth="1" min="4" max="4"/>
    <col width="19" customWidth="1" min="5" max="5"/>
    <col width="24" customWidth="1" min="6" max="6"/>
  </cols>
  <sheetData>
    <row r="1">
      <c r="A1" s="6" t="inlineStr">
        <is>
          <t>Datum</t>
        </is>
      </c>
      <c r="B1" s="6" t="inlineStr">
        <is>
          <t>Ostalbkreis</t>
        </is>
      </c>
      <c r="C1" s="6" t="inlineStr">
        <is>
          <t>Rems-Murr-Kreis</t>
        </is>
      </c>
      <c r="D1" s="6" t="inlineStr">
        <is>
          <t>Waiblingen 30 km</t>
        </is>
      </c>
      <c r="E1" s="6" t="inlineStr">
        <is>
          <t>Summe Suchgebiete</t>
        </is>
      </c>
      <c r="F1" s="6" t="inlineStr">
        <is>
          <t>Waiblingen 15 km (alt)</t>
        </is>
      </c>
    </row>
    <row r="2">
      <c r="A2" s="4" t="n">
        <v>46209</v>
      </c>
      <c r="B2" s="7" t="n">
        <v>5522</v>
      </c>
      <c r="C2" s="7" t="n">
        <v>8717</v>
      </c>
      <c r="D2" s="7" t="n">
        <v>20123</v>
      </c>
      <c r="E2" s="7">
        <f>SUM(B2:D2)</f>
        <v/>
      </c>
      <c r="F2" s="7" t="n">
        <v>10373</v>
      </c>
    </row>
    <row r="3">
      <c r="A3" s="4" t="n">
        <v>46210</v>
      </c>
      <c r="B3" s="7" t="n">
        <v>5546</v>
      </c>
      <c r="C3" s="7" t="n">
        <v>8719</v>
      </c>
      <c r="D3" s="7" t="n">
        <v>20096</v>
      </c>
      <c r="E3" s="7">
        <f>SUM(B3:D3)</f>
        <v/>
      </c>
      <c r="F3" s="7" t="n"/>
    </row>
    <row r="4">
      <c r="A4" s="4" t="n">
        <v>46211</v>
      </c>
      <c r="B4" s="7" t="n">
        <v>5543</v>
      </c>
      <c r="C4" s="7" t="n">
        <v>8788</v>
      </c>
      <c r="D4" s="7" t="n">
        <v>20220</v>
      </c>
      <c r="E4" s="7">
        <f>SUM(B4:D4)</f>
        <v/>
      </c>
      <c r="F4" s="7" t="n"/>
    </row>
    <row r="5">
      <c r="A5" s="4" t="n">
        <v>46212</v>
      </c>
      <c r="B5" s="7" t="n">
        <v>5571</v>
      </c>
      <c r="C5" s="7" t="n">
        <v>8810</v>
      </c>
      <c r="D5" s="7" t="n">
        <v>20311</v>
      </c>
      <c r="E5" s="7">
        <f>SUM(B5:D5)</f>
        <v/>
      </c>
      <c r="F5" s="7" t="n"/>
    </row>
    <row r="6">
      <c r="A6" s="4" t="n">
        <v>46213</v>
      </c>
      <c r="B6" s="7" t="n">
        <v>5571</v>
      </c>
      <c r="C6" s="7" t="n">
        <v>8774</v>
      </c>
      <c r="D6" s="7" t="n">
        <v>20115</v>
      </c>
      <c r="E6" s="7">
        <f>SUM(B6:D6)</f>
        <v/>
      </c>
      <c r="F6" s="7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1" customWidth="1" min="7" max="7"/>
    <col width="27" customWidth="1" min="8" max="8"/>
    <col width="22" customWidth="1" min="9" max="9"/>
    <col width="33" customWidth="1" min="10" max="10"/>
    <col width="13" customWidth="1" min="11" max="11"/>
    <col width="31" customWidth="1" min="12" max="12"/>
    <col width="45" customWidth="1" min="13" max="13"/>
    <col width="26" customWidth="1" min="14" max="14"/>
    <col width="17" customWidth="1" min="15" max="15"/>
    <col width="18" customWidth="1" min="16" max="16"/>
    <col width="43" customWidth="1" min="17" max="17"/>
    <col width="31" customWidth="1" min="18" max="18"/>
    <col width="14" customWidth="1" min="19" max="19"/>
    <col width="17" customWidth="1" min="20" max="20"/>
    <col width="36" customWidth="1" min="21" max="21"/>
  </cols>
  <sheetData>
    <row r="1">
      <c r="A1" s="6" t="inlineStr">
        <is>
          <t>Datum</t>
        </is>
      </c>
      <c r="B1" s="6" t="inlineStr">
        <is>
          <t>Verkäufer/in</t>
        </is>
      </c>
      <c r="C1" s="6" t="inlineStr">
        <is>
          <t>Gabelstaplerfahrer/in</t>
        </is>
      </c>
      <c r="D1" s="6" t="inlineStr">
        <is>
          <t>Helfer/in - Lagerwirtschaft, Transport</t>
        </is>
      </c>
      <c r="E1" s="6" t="inlineStr">
        <is>
          <t>Industriemechaniker/in</t>
        </is>
      </c>
      <c r="F1" s="6" t="inlineStr">
        <is>
          <t>Helfer/in - Reinigung</t>
        </is>
      </c>
      <c r="G1" s="6" t="inlineStr">
        <is>
          <t>Helfer/in - Verkauf</t>
        </is>
      </c>
      <c r="H1" s="6" t="inlineStr">
        <is>
          <t>Fachkraft - Lagerlogistik</t>
        </is>
      </c>
      <c r="I1" s="6" t="inlineStr">
        <is>
          <t>Berufskraftfahrer/in</t>
        </is>
      </c>
      <c r="J1" s="6" t="inlineStr">
        <is>
          <t>Lager- und Transportarbeiter/in</t>
        </is>
      </c>
      <c r="K1" s="6" t="inlineStr">
        <is>
          <t>Erzieher/in</t>
        </is>
      </c>
      <c r="L1" s="6" t="inlineStr">
        <is>
          <t>Helfer/in - Metallbearbeitung</t>
        </is>
      </c>
      <c r="M1" s="6" t="inlineStr">
        <is>
          <t>Maschinen- und Anlagenführer/in (ohne Angabe des Schwerpunkts)</t>
        </is>
      </c>
      <c r="N1" s="6" t="inlineStr">
        <is>
          <t>Zerspanungsmechaniker/in</t>
        </is>
      </c>
      <c r="O1" s="6" t="inlineStr">
        <is>
          <t>Altenpfleger/in</t>
        </is>
      </c>
      <c r="P1" s="6" t="inlineStr">
        <is>
          <t>Mechatroniker/in</t>
        </is>
      </c>
      <c r="Q1" s="6" t="inlineStr">
        <is>
          <t>Filialleiter/in, Verkaufsstellenleiter/in</t>
        </is>
      </c>
      <c r="R1" s="6" t="inlineStr">
        <is>
          <t>Ingenieur/in - Elektrotechnik</t>
        </is>
      </c>
      <c r="S1" s="6" t="inlineStr">
        <is>
          <t>Montierer/in</t>
        </is>
      </c>
      <c r="T1" s="6" t="inlineStr">
        <is>
          <t>Fachlagerist/in</t>
        </is>
      </c>
      <c r="U1" s="6" t="inlineStr">
        <is>
          <t>Gesundheits- und Krankenpfleger/in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364</v>
      </c>
      <c r="G2" s="2" t="n">
        <v>284</v>
      </c>
      <c r="H2" s="2" t="n">
        <v>302</v>
      </c>
      <c r="I2" s="2" t="n">
        <v>300</v>
      </c>
      <c r="J2" s="2" t="n">
        <v>289</v>
      </c>
      <c r="K2" s="2" t="n">
        <v>321</v>
      </c>
      <c r="L2" s="2" t="n">
        <v>250</v>
      </c>
      <c r="M2" s="2" t="n">
        <v>272</v>
      </c>
      <c r="N2" s="2" t="n">
        <v>226</v>
      </c>
      <c r="O2" s="2" t="n">
        <v>282</v>
      </c>
      <c r="P2" s="2" t="n">
        <v>203</v>
      </c>
      <c r="Q2" s="2" t="n">
        <v>199</v>
      </c>
      <c r="R2" s="2" t="n">
        <v>250</v>
      </c>
      <c r="S2" s="2" t="n">
        <v>195</v>
      </c>
      <c r="T2" s="2" t="n">
        <v>181</v>
      </c>
      <c r="U2" s="2" t="n">
        <v>199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215</v>
      </c>
      <c r="H3" s="2" t="n">
        <v>242</v>
      </c>
      <c r="I3" s="2" t="n">
        <v>242</v>
      </c>
      <c r="J3" s="2" t="n">
        <v>223</v>
      </c>
      <c r="K3" s="2" t="n">
        <v>199</v>
      </c>
      <c r="L3" s="2" t="n">
        <v>214</v>
      </c>
      <c r="M3" s="2" t="n">
        <v>225</v>
      </c>
      <c r="N3" s="2" t="n">
        <v>191</v>
      </c>
      <c r="O3" s="2" t="n">
        <v>203</v>
      </c>
      <c r="P3" s="2" t="n">
        <v>160</v>
      </c>
      <c r="Q3" s="2" t="n">
        <v>163</v>
      </c>
      <c r="R3" s="2" t="n">
        <v>152</v>
      </c>
      <c r="S3" s="2" t="n">
        <v>150</v>
      </c>
      <c r="T3" s="2" t="n">
        <v>140</v>
      </c>
      <c r="U3" s="2" t="n">
        <v>137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288</v>
      </c>
      <c r="G4" s="2" t="n">
        <v>212</v>
      </c>
      <c r="H4" s="2" t="n">
        <v>243</v>
      </c>
      <c r="I4" s="2" t="n">
        <v>241</v>
      </c>
      <c r="J4" s="2" t="n">
        <v>227</v>
      </c>
      <c r="K4" s="2" t="n">
        <v>206</v>
      </c>
      <c r="L4" s="2" t="n">
        <v>208</v>
      </c>
      <c r="M4" s="2" t="n">
        <v>219</v>
      </c>
      <c r="N4" s="2" t="n">
        <v>197</v>
      </c>
      <c r="O4" s="2" t="n">
        <v>202</v>
      </c>
      <c r="P4" s="2" t="n">
        <v>159</v>
      </c>
      <c r="Q4" s="2" t="n">
        <v>161</v>
      </c>
      <c r="R4" s="2" t="n">
        <v>160</v>
      </c>
      <c r="S4" s="2" t="n">
        <v>154</v>
      </c>
      <c r="T4" s="2" t="n">
        <v>144</v>
      </c>
      <c r="U4" s="2" t="n">
        <v>146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283</v>
      </c>
      <c r="G5" s="2" t="n">
        <v>236</v>
      </c>
      <c r="H5" s="2" t="n">
        <v>240</v>
      </c>
      <c r="I5" s="2" t="n">
        <v>238</v>
      </c>
      <c r="J5" s="2" t="n">
        <v>229</v>
      </c>
      <c r="K5" s="2" t="n">
        <v>211</v>
      </c>
      <c r="L5" s="2" t="n">
        <v>211</v>
      </c>
      <c r="M5" s="2" t="n">
        <v>226</v>
      </c>
      <c r="N5" s="2" t="n">
        <v>198</v>
      </c>
      <c r="O5" s="2" t="n">
        <v>195</v>
      </c>
      <c r="P5" s="2" t="n">
        <v>161</v>
      </c>
      <c r="Q5" s="2" t="n">
        <v>159</v>
      </c>
      <c r="R5" s="2" t="n">
        <v>163</v>
      </c>
      <c r="S5" s="2" t="n">
        <v>153</v>
      </c>
      <c r="T5" s="2" t="n">
        <v>142</v>
      </c>
      <c r="U5" s="2" t="n">
        <v>145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306</v>
      </c>
      <c r="F6" s="2" t="n">
        <v>283</v>
      </c>
      <c r="G6" s="2" t="n">
        <v>239</v>
      </c>
      <c r="H6" s="2" t="n">
        <v>236</v>
      </c>
      <c r="I6" s="2" t="n">
        <v>233</v>
      </c>
      <c r="J6" s="2" t="n">
        <v>230</v>
      </c>
      <c r="K6" s="2" t="n">
        <v>228</v>
      </c>
      <c r="L6" s="2" t="n">
        <v>221</v>
      </c>
      <c r="M6" s="2" t="n">
        <v>221</v>
      </c>
      <c r="N6" s="2" t="n">
        <v>202</v>
      </c>
      <c r="O6" s="2" t="n">
        <v>196</v>
      </c>
      <c r="P6" s="2" t="n">
        <v>157</v>
      </c>
      <c r="Q6" s="2" t="n">
        <v>157</v>
      </c>
      <c r="R6" s="2" t="n">
        <v>156</v>
      </c>
      <c r="S6" s="2" t="n">
        <v>150</v>
      </c>
      <c r="T6" s="2" t="n">
        <v>143</v>
      </c>
      <c r="U6" s="2" t="n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18" customWidth="1" min="4" max="4"/>
    <col width="24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6" t="inlineStr">
        <is>
          <t>Beruf</t>
        </is>
      </c>
      <c r="B1" s="6" t="inlineStr">
        <is>
          <t>Ostalbkreis</t>
        </is>
      </c>
      <c r="C1" s="6" t="inlineStr">
        <is>
          <t>Rems-Murr-Kreis</t>
        </is>
      </c>
      <c r="D1" s="6" t="inlineStr">
        <is>
          <t>Waiblingen 30 km</t>
        </is>
      </c>
      <c r="E1" s="6" t="inlineStr">
        <is>
          <t>Waiblingen 15 km (alt)</t>
        </is>
      </c>
      <c r="F1" s="6" t="inlineStr">
        <is>
          <t>Gesamt</t>
        </is>
      </c>
      <c r="G1" s="6" t="inlineStr">
        <is>
          <t>Vor 7 Tagen (n/a)</t>
        </is>
      </c>
      <c r="H1" s="6" t="inlineStr">
        <is>
          <t>Vor 30 Tagen (n/a)</t>
        </is>
      </c>
      <c r="I1" s="6" t="inlineStr">
        <is>
          <t>Δ 7 Tage</t>
        </is>
      </c>
      <c r="J1" s="6" t="inlineStr">
        <is>
          <t>Δ 30 Tage</t>
        </is>
      </c>
    </row>
    <row r="2">
      <c r="A2" s="2" t="inlineStr">
        <is>
          <t>Verkäufer/in</t>
        </is>
      </c>
      <c r="B2" s="2" t="n">
        <v>212</v>
      </c>
      <c r="C2" s="2" t="n">
        <v>224</v>
      </c>
      <c r="D2" s="2" t="n">
        <v>185</v>
      </c>
      <c r="E2" s="2" t="n"/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167</v>
      </c>
      <c r="C3" s="2" t="n">
        <v>131</v>
      </c>
      <c r="D3" s="2" t="n">
        <v>111</v>
      </c>
      <c r="E3" s="2" t="n"/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100</v>
      </c>
      <c r="C4" s="2" t="n">
        <v>128</v>
      </c>
      <c r="D4" s="2" t="n">
        <v>118</v>
      </c>
      <c r="E4" s="2" t="n"/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126</v>
      </c>
      <c r="C5" s="2" t="n">
        <v>109</v>
      </c>
      <c r="D5" s="2" t="n">
        <v>71</v>
      </c>
      <c r="E5" s="2" t="n"/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115</v>
      </c>
      <c r="C6" s="2" t="n">
        <v>90</v>
      </c>
      <c r="D6" s="2" t="n">
        <v>78</v>
      </c>
      <c r="E6" s="2" t="n"/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Helfer/in - Verkauf</t>
        </is>
      </c>
      <c r="B7" s="2" t="n">
        <v>73</v>
      </c>
      <c r="C7" s="2" t="n">
        <v>85</v>
      </c>
      <c r="D7" s="2" t="n">
        <v>81</v>
      </c>
      <c r="E7" s="2" t="n"/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Fachkraft - Lagerlogistik</t>
        </is>
      </c>
      <c r="B8" s="2" t="n">
        <v>94</v>
      </c>
      <c r="C8" s="2" t="n">
        <v>79</v>
      </c>
      <c r="D8" s="2" t="n">
        <v>63</v>
      </c>
      <c r="E8" s="2" t="n"/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Berufskraftfahrer/in</t>
        </is>
      </c>
      <c r="B9" s="2" t="n">
        <v>101</v>
      </c>
      <c r="C9" s="2" t="n">
        <v>71</v>
      </c>
      <c r="D9" s="2" t="n">
        <v>61</v>
      </c>
      <c r="E9" s="2" t="n"/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Lager- und Transportarbeiter/in</t>
        </is>
      </c>
      <c r="B10" s="2" t="n">
        <v>79</v>
      </c>
      <c r="C10" s="2" t="n">
        <v>84</v>
      </c>
      <c r="D10" s="2" t="n">
        <v>67</v>
      </c>
      <c r="E10" s="2" t="n"/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Erzieher/in</t>
        </is>
      </c>
      <c r="B11" s="2" t="n">
        <v>19</v>
      </c>
      <c r="C11" s="2" t="n">
        <v>91</v>
      </c>
      <c r="D11" s="2" t="n">
        <v>118</v>
      </c>
      <c r="E11" s="2" t="n"/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Helfer/in - Metallbearbeitung</t>
        </is>
      </c>
      <c r="B12" s="2" t="n">
        <v>91</v>
      </c>
      <c r="C12" s="2" t="n">
        <v>76</v>
      </c>
      <c r="D12" s="2" t="n">
        <v>54</v>
      </c>
      <c r="E12" s="2" t="n"/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Maschinen- und Anlagenführer/in (ohne Angabe des Schwerpunkts)</t>
        </is>
      </c>
      <c r="B13" s="2" t="n">
        <v>113</v>
      </c>
      <c r="C13" s="2" t="n">
        <v>62</v>
      </c>
      <c r="D13" s="2" t="n">
        <v>46</v>
      </c>
      <c r="E13" s="2" t="n"/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Zerspanungsmechaniker/in</t>
        </is>
      </c>
      <c r="B14" s="2" t="n">
        <v>115</v>
      </c>
      <c r="C14" s="2" t="n">
        <v>52</v>
      </c>
      <c r="D14" s="2" t="n">
        <v>35</v>
      </c>
      <c r="E14" s="2" t="n"/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Altenpfleger/in</t>
        </is>
      </c>
      <c r="B15" s="2" t="n">
        <v>38</v>
      </c>
      <c r="C15" s="2" t="n">
        <v>89</v>
      </c>
      <c r="D15" s="2" t="n">
        <v>69</v>
      </c>
      <c r="E15" s="2" t="n"/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Mechatroniker/in</t>
        </is>
      </c>
      <c r="B16" s="2" t="n">
        <v>56</v>
      </c>
      <c r="C16" s="2" t="n">
        <v>50</v>
      </c>
      <c r="D16" s="2" t="n">
        <v>51</v>
      </c>
      <c r="E16" s="2" t="n"/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Filialleiter/in, Verkaufsstellenleiter/in</t>
        </is>
      </c>
      <c r="B17" s="2" t="n">
        <v>81</v>
      </c>
      <c r="C17" s="2" t="n">
        <v>44</v>
      </c>
      <c r="D17" s="2" t="n">
        <v>32</v>
      </c>
      <c r="E17" s="2" t="n"/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Ingenieur/in - Elektrotechnik</t>
        </is>
      </c>
      <c r="B18" s="2" t="n">
        <v>17</v>
      </c>
      <c r="C18" s="2" t="n">
        <v>62</v>
      </c>
      <c r="D18" s="2" t="n">
        <v>77</v>
      </c>
      <c r="E18" s="2" t="n"/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58</v>
      </c>
      <c r="C19" s="2" t="n">
        <v>52</v>
      </c>
      <c r="D19" s="2" t="n">
        <v>40</v>
      </c>
      <c r="E19" s="2" t="n"/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Fachlagerist/in</t>
        </is>
      </c>
      <c r="B20" s="2" t="n">
        <v>54</v>
      </c>
      <c r="C20" s="2" t="n">
        <v>45</v>
      </c>
      <c r="D20" s="2" t="n">
        <v>44</v>
      </c>
      <c r="E20" s="2" t="n"/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Gesundheits- und Krankenpfleger/in</t>
        </is>
      </c>
      <c r="B21" s="2" t="n">
        <v>35</v>
      </c>
      <c r="C21" s="2" t="n">
        <v>55</v>
      </c>
      <c r="D21" s="2" t="n">
        <v>51</v>
      </c>
      <c r="E21" s="2" t="n"/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Elektroniker/in - Betriebstechnik</t>
        </is>
      </c>
      <c r="B22" s="2" t="n">
        <v>43</v>
      </c>
      <c r="C22" s="2" t="n">
        <v>47</v>
      </c>
      <c r="D22" s="2" t="n">
        <v>43</v>
      </c>
      <c r="E22" s="2" t="n"/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Bürokaufmann/-frau</t>
        </is>
      </c>
      <c r="B23" s="2" t="n">
        <v>34</v>
      </c>
      <c r="C23" s="2" t="n">
        <v>48</v>
      </c>
      <c r="D23" s="2" t="n">
        <v>50</v>
      </c>
      <c r="E23" s="2" t="n"/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Elektroniker/in - Energie- und Gebäudetechnik</t>
        </is>
      </c>
      <c r="B24" s="2" t="n">
        <v>36</v>
      </c>
      <c r="C24" s="2" t="n">
        <v>51</v>
      </c>
      <c r="D24" s="2" t="n">
        <v>45</v>
      </c>
      <c r="E24" s="2" t="n"/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Anlagenmechaniker/in - Sanitär-, Heizungs- und Klimatechnik</t>
        </is>
      </c>
      <c r="B25" s="2" t="n">
        <v>38</v>
      </c>
      <c r="C25" s="2" t="n">
        <v>42</v>
      </c>
      <c r="D25" s="2" t="n">
        <v>47</v>
      </c>
      <c r="E25" s="2" t="n"/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Koch/Köchin</t>
        </is>
      </c>
      <c r="B26" s="2" t="n">
        <v>42</v>
      </c>
      <c r="C26" s="2" t="n">
        <v>39</v>
      </c>
      <c r="D26" s="2" t="n">
        <v>45</v>
      </c>
      <c r="E26" s="2" t="n"/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Sozialarbeiter/in / Sozialpädagoge/-pädagogin</t>
        </is>
      </c>
      <c r="B27" s="2" t="n">
        <v>18</v>
      </c>
      <c r="C27" s="2" t="n">
        <v>45</v>
      </c>
      <c r="D27" s="2" t="n">
        <v>57</v>
      </c>
      <c r="E27" s="2" t="n"/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Medizinische/r Fachangestellte/r</t>
        </is>
      </c>
      <c r="B28" s="2" t="n">
        <v>39</v>
      </c>
      <c r="C28" s="2" t="n">
        <v>42</v>
      </c>
      <c r="D28" s="2" t="n">
        <v>39</v>
      </c>
      <c r="E28" s="2" t="n"/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Maschinen- und Anlagenführer/in - Metall-, Kunststofftechnik</t>
        </is>
      </c>
      <c r="B29" s="2" t="n">
        <v>37</v>
      </c>
      <c r="C29" s="2" t="n">
        <v>48</v>
      </c>
      <c r="D29" s="2" t="n">
        <v>35</v>
      </c>
      <c r="E29" s="2" t="n"/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Helfer/in - Elektro</t>
        </is>
      </c>
      <c r="B30" s="2" t="n">
        <v>22</v>
      </c>
      <c r="C30" s="2" t="n">
        <v>60</v>
      </c>
      <c r="D30" s="2" t="n">
        <v>35</v>
      </c>
      <c r="E30" s="2" t="n"/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Schweißer/in</t>
        </is>
      </c>
      <c r="B31" s="2" t="n">
        <v>62</v>
      </c>
      <c r="C31" s="2" t="n">
        <v>22</v>
      </c>
      <c r="D31" s="2" t="n">
        <v>28</v>
      </c>
      <c r="E31" s="2" t="n"/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Kaufmann/-frau - Büromanagement</t>
        </is>
      </c>
      <c r="B32" s="2" t="n">
        <v>25</v>
      </c>
      <c r="C32" s="2" t="n">
        <v>37</v>
      </c>
      <c r="D32" s="2" t="n">
        <v>46</v>
      </c>
      <c r="E32" s="2" t="n"/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CNC-Dreher/in</t>
        </is>
      </c>
      <c r="B33" s="2" t="n">
        <v>30</v>
      </c>
      <c r="C33" s="2" t="n">
        <v>43</v>
      </c>
      <c r="D33" s="2" t="n">
        <v>33</v>
      </c>
      <c r="E33" s="2" t="n"/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Buchhalter/in</t>
        </is>
      </c>
      <c r="B34" s="2" t="n">
        <v>37</v>
      </c>
      <c r="C34" s="2" t="n">
        <v>34</v>
      </c>
      <c r="D34" s="2" t="n">
        <v>34</v>
      </c>
      <c r="E34" s="2" t="n"/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Kaufmännische Fachkraft</t>
        </is>
      </c>
      <c r="B35" s="2" t="n">
        <v>31</v>
      </c>
      <c r="C35" s="2" t="n">
        <v>42</v>
      </c>
      <c r="D35" s="2" t="n">
        <v>31</v>
      </c>
      <c r="E35" s="2" t="n"/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Industriekaufmann/-frau</t>
        </is>
      </c>
      <c r="B36" s="2" t="n">
        <v>32</v>
      </c>
      <c r="C36" s="2" t="n">
        <v>35</v>
      </c>
      <c r="D36" s="2" t="n">
        <v>35</v>
      </c>
      <c r="E36" s="2" t="n"/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Kommissionierer/in</t>
        </is>
      </c>
      <c r="B37" s="2" t="n">
        <v>28</v>
      </c>
      <c r="C37" s="2" t="n">
        <v>41</v>
      </c>
      <c r="D37" s="2" t="n">
        <v>31</v>
      </c>
      <c r="E37" s="2" t="n"/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Pflegefachmann/-frau (Altenpflege)</t>
        </is>
      </c>
      <c r="B38" s="2" t="n">
        <v>34</v>
      </c>
      <c r="C38" s="2" t="n">
        <v>34</v>
      </c>
      <c r="D38" s="2" t="n">
        <v>30</v>
      </c>
      <c r="E38" s="2" t="n"/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Anlagenmechaniker/in</t>
        </is>
      </c>
      <c r="B39" s="2" t="n">
        <v>29</v>
      </c>
      <c r="C39" s="2" t="n">
        <v>40</v>
      </c>
      <c r="D39" s="2" t="n">
        <v>29</v>
      </c>
      <c r="E39" s="2" t="n"/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Informatiker/in</t>
        </is>
      </c>
      <c r="B40" s="2" t="n">
        <v>17</v>
      </c>
      <c r="C40" s="2" t="n">
        <v>33</v>
      </c>
      <c r="D40" s="2" t="n">
        <v>46</v>
      </c>
      <c r="E40" s="2" t="n"/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Metallbearbeiter/in</t>
        </is>
      </c>
      <c r="B41" s="2" t="n">
        <v>24</v>
      </c>
      <c r="C41" s="2" t="n">
        <v>57</v>
      </c>
      <c r="D41" s="2" t="n">
        <v>15</v>
      </c>
      <c r="E41" s="2" t="n"/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6" t="inlineStr">
        <is>
          <t>Refnr</t>
        </is>
      </c>
      <c r="B1" s="6" t="inlineStr">
        <is>
          <t>Region</t>
        </is>
      </c>
      <c r="C1" s="6" t="inlineStr">
        <is>
          <t>Beruf</t>
        </is>
      </c>
      <c r="D1" s="6" t="inlineStr">
        <is>
          <t>Arbeitgeber</t>
        </is>
      </c>
      <c r="E1" s="6" t="inlineStr">
        <is>
          <t>Erstmals gesehen</t>
        </is>
      </c>
      <c r="F1" s="6" t="inlineStr">
        <is>
          <t>Zuletzt gesehen</t>
        </is>
      </c>
      <c r="G1" s="6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46213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46213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46213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46213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46213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46213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46213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46213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46213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46213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46213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46213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46213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46213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46213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46213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46213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46213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46213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46213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46213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46213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46213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46213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46213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46213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46213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46213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46213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46213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46213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46213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46213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46213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46213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46213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46213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46213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46213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46213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46213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46213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46213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46213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46213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46213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46213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46213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46213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46213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46213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46213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46213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46213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46213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46213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46213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46213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46213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46213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46213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46213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46213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46213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46213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46213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46213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46213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46213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46213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46213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46213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46213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46213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46213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46213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46213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46213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46213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46213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46213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46213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46213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46213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46213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46213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46213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46213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46213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46213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46213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46213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46213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46213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46213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46213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46213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46213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46213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46213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46213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46213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46213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46213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46213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46213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46213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46213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46213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46213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46213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46213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46213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46213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46213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46213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46213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46213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46213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46213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46213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46213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46213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46213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46213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46213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46213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46213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46213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46213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46213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46213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46213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46213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46213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46213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46213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46213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46213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46213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46213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46213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46213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46213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46213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46213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46213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46213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46213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46213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46213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46213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46213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46213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46213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46213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46213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46213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46213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46213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46213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46213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46213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46213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46213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46213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46213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46213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46213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46213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46213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46213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46213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46213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46213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46213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46213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46213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46213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46213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46213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46213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46213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46213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46213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46213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46213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46213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46213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46213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46213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46213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46213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46213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46213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46213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46213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46213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46213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46213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46213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46213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46213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46213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46213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46213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46213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46213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46213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46213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46213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46213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46213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46213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46213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46213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46213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46213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46213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46213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46213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46213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46213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46213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46213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46213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46213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46213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46213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46213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46213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46213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46213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46213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46213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46213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46213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46213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46213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46213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46213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46213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46213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46213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46213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46213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46213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46213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46213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46213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46213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46213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46213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46213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46213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46213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46213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46213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46213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46213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46213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46213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46213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46213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46213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46213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46213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46213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46213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46213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46213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46213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46213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46213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46213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46213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46213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46213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46213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46213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46213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46213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46213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46213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46213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46213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46213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46213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46213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46213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46213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46213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46213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46213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46213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46213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46213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46213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46213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46213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46213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46213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46213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46213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46213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46213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46213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46213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46213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46213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46213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46213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46213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46213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46213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46213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46213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46213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46213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46213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46213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46213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46213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46213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46213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46213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46213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46213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46213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46213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46213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46213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46213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46213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46213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46213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46213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46213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46213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46213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46213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46213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46213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46213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46213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46213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46213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46213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46213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46213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46213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46213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46213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46213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46213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46213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46213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46213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46213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46213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46213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46213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46213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46213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46213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46213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46213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46213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46213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46213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46213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46213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46213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46213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46213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46213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46213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46213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46213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46213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46213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46213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46213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46213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46213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46213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46213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46213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46213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46213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46213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46213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46213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46213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46213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46213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46213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46213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46213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46213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46213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46213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46213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46213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46213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46213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46213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46213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46213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46213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46213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46213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46213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46213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46213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46213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46213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46213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46213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46213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46213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46213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46213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46213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46213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46213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46213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46213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46213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46213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46213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46213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46213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46213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46213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46213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46213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46213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46213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46213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46213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46213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46213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46213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46213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46213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46213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46213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46213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46213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46213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46213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46213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46213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46213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46213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46213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46213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46213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46213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46213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46213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46213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46213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46213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46213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46213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46213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46213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46213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46213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46213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46213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46213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46213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46213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46213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46213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46213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46213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46213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46213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46213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46213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46213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46213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46213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46213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46213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46213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46213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46213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46213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46213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46213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46213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46213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46213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46213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46213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46213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46213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46213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46213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46213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46213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46213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46213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46213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46213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46213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46213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46213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46213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46213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46213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46213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46213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46213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46213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46213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46213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46213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46213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46213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46213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46213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46213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46213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46213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46213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46213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46213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46213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46213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46213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46213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46213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46213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46213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46213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46213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46213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46213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46213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46213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46213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46213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46213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46213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46213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46213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46213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46213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46213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46213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46213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46213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46213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46213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46213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46213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46213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46213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46213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46213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46213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46213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46213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46213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46213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46213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46213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46213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46213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46213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46213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46213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46213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46213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46213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46213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46213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46213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46213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46213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46213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46213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46213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46213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46213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46213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46213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46213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46213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46213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46213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46213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46213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46213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46213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46213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46213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46213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46213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46213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46213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46213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46213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46213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46213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46213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46213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46213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46213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46213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46213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46213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46213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46213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46213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46213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46213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46213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46213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46213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46213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46213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46213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46213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46213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46213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46213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46213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46213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46213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46213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46213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46213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46213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46213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46213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46213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46213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46213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46213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46213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46213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46213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46213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46213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46213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46213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46213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46213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46213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46213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46213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46213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46213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46213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46213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46213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46213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46213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46213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46213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46213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46213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46213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46213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46213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46213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46213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46213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46213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46213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46213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46213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46213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46213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46213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46213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46213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46213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46213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46213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46213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46213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46213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46213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46213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46213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46213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46213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46213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46213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46213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46213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46213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46213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46213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46213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46213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46213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46213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46213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46213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46213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46213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46213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46213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46213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46213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46213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46213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46213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46213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46213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46213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46213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46213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46213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46213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46213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46213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46213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46213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46213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46213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46213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46213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46213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46213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46213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46213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46213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46213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46213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46213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46213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46213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46213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46213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46213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46213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46213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46213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46213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46213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46213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46213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46213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46213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46213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46213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46213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46213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46213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46213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46213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46213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46213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46213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46213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46213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46213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46213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46213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46213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46213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46213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46213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46213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46213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46213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46213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46213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46213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46213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46213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46213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46213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46213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46213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46213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46213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46213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46213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46213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46213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46213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46213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46213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46213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46213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46213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46213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46213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46213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46213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46213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46213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46213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46213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46213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46213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46213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46213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46213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46213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46213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46213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46213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46213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46213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46213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46213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46213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46213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46213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46213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46213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46213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46213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46213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46213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46213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46213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46213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46213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46213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46213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46213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46213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46213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46213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46213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46213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46213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46213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46213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46213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46213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46213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46213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46213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46213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46213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46213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46213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46213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46213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46213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46213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46213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46213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46213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46213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46213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46213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46213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46213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46213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46213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46213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46213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46213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46213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46213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46213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46213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46213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46213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46213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46213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46213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46213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46213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46213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46213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46213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46213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46213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46213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46213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46213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46213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46213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46213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46213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46213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46213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46213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46213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46213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46213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46213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46213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46213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46213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46213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46213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46213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46213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46213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46213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46213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46213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46213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46213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46213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46213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46213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46213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46213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46213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46213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46213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46213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46213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46213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46213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46213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46213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46213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46213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46213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46213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46213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46213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46213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46213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46213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46213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46213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46213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46213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46213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46213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46213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46213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46213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46213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46213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46213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46213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46213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46213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46213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46213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46213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46213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46213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46213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46213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46213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46213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46213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46213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46213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46213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46213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46213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46213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46213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46213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46213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46213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46213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46213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46213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46213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46213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46213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46213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46213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46213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46213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46213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46213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46213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46213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46213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46213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46213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46213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46213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46213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46213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46213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46213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46213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46213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46213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46213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46213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46213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46213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46213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46213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46213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46213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46213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46213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46213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46213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46213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46213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46213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46213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46213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46213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46213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46213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46213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46213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46213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46213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46213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46213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46213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46213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46213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46213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46213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46213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46213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46213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46213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46213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46213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46213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46213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46213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46213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46213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46213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46213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46213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46213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46213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46213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46213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46213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46213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46213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46213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46213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46213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46213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46213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46213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46213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46213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46213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46213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46213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46213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46213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46213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46213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46213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46213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46213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46213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46213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46213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46213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46213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46213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46213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46213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46213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46213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46213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46213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46213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46213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46213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46213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46213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46213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46213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46213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46213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46213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46213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46213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46213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46213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46213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46213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46213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46213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46213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46213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46213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46213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46213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46213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46213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46213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46213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46213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46213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46213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46213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46213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46213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46213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46213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46213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46213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46213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46213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46213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46213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46213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46213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46213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46213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46213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46213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46213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46213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46213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46213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46213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46213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46213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46213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46213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46213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46213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46213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46213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46213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46213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46213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46213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46213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46213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46213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46213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46213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46213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46213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46213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46213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46213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46213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46213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46213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46213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46213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46213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46213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46213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46213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46213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46213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46213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46213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46213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46213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46213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46213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46213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46213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46213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46213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46213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46213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46213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46213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46213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46213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46213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46213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46213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46213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46213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46213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46213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46213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46213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46213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46213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46213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46213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46213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46213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46213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46213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46213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46213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46213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46213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46213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46213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46213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46213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46213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46213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46213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46213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46213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46213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46213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46213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46213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46213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46213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46213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46213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46213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46213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46213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46213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46213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46213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46213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46213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46213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46213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46213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46213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46213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46213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46213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46213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46213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46213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46213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46213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46213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46213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46213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46213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46213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46213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46213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46213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46213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46213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46213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46213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46213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46213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46213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46213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46213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46213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46213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46213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46213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46213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46213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46213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46213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46213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46213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46213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46213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46213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46213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46213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46213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46213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46213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46213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46213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46213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46213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46213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46213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46213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46213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46213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46213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46213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46213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46213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46213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46213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46213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46213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46213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46213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46213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46213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46213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46213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46213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46213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46213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46213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46213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46213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46213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46213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46213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46213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46213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46213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46213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46213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46213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46213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46213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46213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46213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46213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46213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46213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46213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46213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46213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46213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46213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46213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46213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46213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46213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46213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46213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46213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46213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46213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46213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46213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46213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46213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46213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46213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46213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46213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46213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46213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46213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46213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46213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46213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46213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46213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46213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46213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46213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46213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46213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46213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46213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46213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46213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46213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46213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46213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46213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46213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46213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46213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46213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46213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46213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46213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46213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46213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46213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46213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46213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46213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46213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46213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46213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46213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46213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46213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46213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46213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46213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46213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46213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46213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46213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46213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46213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46213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46213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46213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46213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46213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46213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46213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46213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46213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46213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46213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46213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46213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46213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46213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46213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46213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46213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46213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46213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46213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46213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46213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46213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46213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46213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46213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46213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46213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46213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46213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46213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46213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46213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46213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46213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46213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46213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46213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46213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46213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46213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46213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46213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46213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46213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46213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46213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46213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46213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46213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46213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46213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46213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46213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46213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46213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46213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46213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46213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46213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46213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46213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46213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46213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46213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46213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46213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46213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46213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46213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46213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46213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46213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46213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46213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46213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46213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46213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46213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46213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46213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46213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46213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46213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46213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46213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46213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46213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46213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46213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46213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46213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46213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46213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46213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46213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46213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46213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46213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46213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46213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46213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46213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46213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46213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46213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46213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46213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46213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46213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46213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46213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46212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46213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46213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46213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46213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46213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46213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46213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46213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46213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46213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46213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46213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46213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46213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46213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46213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46213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46213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46213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46213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46213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46213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46213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46213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46213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46213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46213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46213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46213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46213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46213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46213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46213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46213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46213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46213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46213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46213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46213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46213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46213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46213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46213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46213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46213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46213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46213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46213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46213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46213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46213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46213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46213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46213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46213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46213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46213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46213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46213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46213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46213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46213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46213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46213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46213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46213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46213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46213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46213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46213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46213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46213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46213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46213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46213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46213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46213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46213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46213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46213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46213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46213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46213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46213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46213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46213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46213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46213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46213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46213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46213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46213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46213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46213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46213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46213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46213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46213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46213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46213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46213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46213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46213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46213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46213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46213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46213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46213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46213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46213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46213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46213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46213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46213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46213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46213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46213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46213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46213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46213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46213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46213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46213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46213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46213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46213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46213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46213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46213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46213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46213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46213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46213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46213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46213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46213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46213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46213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46213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46213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46213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46213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46213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46213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46213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46213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46213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46213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46213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46213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46213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46213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46213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46213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46213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46213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46213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46213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46213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46213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46213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46213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46213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46213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46213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46213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46213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46213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46213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46213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46213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46213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46213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46213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46213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46213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46213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46213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46213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46213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46213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46213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46213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46213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46213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46213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46213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46213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46213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46213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46213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46213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46213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46213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46213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46213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46213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46213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46213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46213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46213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46213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46213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46213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46213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46213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46213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46213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46213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46213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46213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46213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46213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46213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46213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46213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46213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46213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46213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46213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46213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46213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46213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46213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46213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46213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46213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46213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46213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46213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46213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46213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46213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46213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46213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46213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46213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46213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46213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46213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46213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46213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46213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46213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46213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46213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46213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46213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46213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46213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46213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46213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46213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46213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46213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46213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46213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46213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46213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46213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46213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46213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46213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46213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46213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46213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46213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46213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46213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46213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46213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46213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46213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46213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46213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46213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46213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46213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46213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46213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46213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46213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46213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46213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46213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46213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46213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46213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46213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46213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46213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46213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46213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46213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46213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46213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46213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46213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46213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46213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46213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46213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46213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46213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46213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46213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46213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46213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46213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46213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46213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46213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46213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46213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46213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46213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46213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46213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46213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46213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46213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46213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46213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46213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46213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46213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46213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46213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46213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46213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46213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46213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46213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46213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46213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46213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46213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46213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46213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46213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46213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46213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46213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46213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46213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46213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46213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46213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46213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46213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46213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46213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46213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46213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46213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46213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46213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46213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46213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46213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46213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46213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46213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46213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46213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46213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46213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46213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46213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46213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46213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46213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46213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46213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46213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46213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46213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46213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46213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46213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46213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46213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46213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46213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46213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46213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46213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46213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46213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46213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46213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46213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46213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46213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46213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46213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46213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46213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46213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46213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46213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46213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46213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46213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46213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46213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46213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46213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46213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46213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46213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46213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46213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46213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46213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46213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46213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46213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46213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46213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46213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46213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46213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46213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46213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46213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46213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46213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46213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46213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46213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46213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46213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46213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46213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46213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46213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46213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46213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46213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46213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46213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46213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46213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46213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46213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46213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46213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46213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46213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46213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46213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46213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46213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46213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46213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46213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46213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46213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46213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46213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46213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46213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46213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46213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46213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46213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46213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46213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46213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46213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46213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46213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46213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46213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46213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46213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46213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46213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46213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46213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46213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46213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46213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46213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46213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46213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46213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46213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46213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46213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46213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46213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46213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46213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46213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46213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46213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46213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46213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46213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46213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46213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46213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46213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46213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46213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46213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46213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46213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46213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46213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46213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46213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46213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46213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46213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46213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46213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46213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46213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46213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46213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46213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46213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46213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46213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46213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46213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46213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46213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46213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46213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46213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46213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46213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46213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46213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46213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46213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46213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46213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46213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46213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46213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46213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46213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46213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46213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46213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46213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46213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46213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46213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46213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46213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46213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46213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46213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46213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46213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46213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46213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46213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46213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46213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46213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46213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46213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46213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46213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46213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46213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46213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46213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46213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46213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46213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46213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46213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46213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46213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46213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46213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46213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46213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46213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46213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46213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46213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46213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46213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46213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46213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46213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46213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46213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46213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46213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46213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46213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46213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46213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46213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46213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46213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46213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46213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46213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46213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46213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46213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46213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46213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46213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46213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46213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46213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46213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46213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46213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46213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46213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46213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46213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46213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46213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46213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46213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46213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46213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46213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46213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46213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46213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46213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46213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46213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46213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46213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46213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46213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46213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46213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46213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46213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46213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46213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46213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46213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46213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46213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46213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46213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46213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46213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46213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46213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46213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46213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46213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46213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46213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46213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46213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46213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46213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46213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46213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46213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46213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46213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46213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46213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46213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46213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46213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46213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46213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46213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46213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46213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46213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46213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46213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46213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46213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46213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46213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46213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46213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46213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46213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46213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46213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46213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46213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46213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46213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46213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46213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46213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46213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46213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46213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46213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46213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46213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46213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46213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46213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46213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46213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46213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46213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46213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46213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46213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46213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46213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46213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46213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46213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46213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46213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46213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46213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46213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46213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46213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46213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46213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46213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46213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46213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46213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46213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46213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46213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46213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46213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46213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46213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46213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46213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46213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46213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46213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46213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46213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46213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46213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46213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46213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46213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46213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46213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46213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46213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46213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46213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46213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46213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46213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46213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46213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46213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46213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46213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46213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46213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46213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46213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46213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46213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46213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46213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46213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46213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46213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46213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46213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46213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46213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46213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46213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46213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46213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46213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46213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46213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46213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46213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46213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46213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46213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46213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46213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46213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46213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46213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46213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46213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46213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46213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46213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46213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46213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46213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46213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46213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46213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46213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46213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46213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46213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46213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46213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46213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46213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46213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46213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46213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46213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46213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46213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46213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46213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46213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46213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46213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46213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46213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46213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46213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46213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46213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46213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46213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46213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46213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46213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46213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46213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46213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46213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46213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46213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46213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46213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46213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46213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46213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46213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46213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46213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46213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46213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46213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46213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46213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46213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46213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46213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46213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46213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46213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46213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46213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46213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46213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46213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46213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46213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46213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46213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46213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46213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46213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46213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46213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46213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46213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46213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46213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46213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46213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46213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46213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46213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46213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46213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46213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46213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46213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46213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46213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46213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46213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46213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46213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46213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46213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46213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46213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46213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46213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46213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46213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46213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46213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46213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46213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46213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46213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46213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46213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46213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46213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46213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46213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46213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46213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46213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46213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46213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46213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46213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46213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46213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46213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46213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46213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46213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46213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46213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46213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46213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46213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46213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46213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46213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46213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46213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46213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46213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46213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46213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46213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46213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46213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46213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46213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46213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46213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46213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46213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46213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46213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46213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46213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46213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46213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46213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46213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46213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46213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46213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46213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46213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46213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46213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46213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46213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46213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46213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46213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46213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46213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46213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46213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46213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46213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46213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46213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46213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46213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46213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46213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46213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46213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46213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46213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46213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46213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46213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46213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46213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46213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46213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46213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46213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46213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46213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46213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46213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46213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46213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46213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46213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46213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46213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46213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46213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46213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46213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46213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46213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46213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46213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46213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46213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46213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46213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46213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46213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46213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46213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46213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46213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46213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46213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46213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46213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46213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46213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46213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46213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46213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46213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46213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46213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46213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46213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46213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46213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46213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46213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46213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46213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46213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46213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46213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46213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46213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46213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46213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46213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46213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46213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46213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46213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46213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46213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46213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46213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46213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46213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46213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46213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46213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46213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46213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46213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46213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46213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46213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46213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46213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46213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46213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46213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46213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46213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46213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46213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46213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46213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46213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46213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46213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46213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46213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46213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46213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46213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46213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46213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46213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46213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46213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46213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46213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46213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46213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46213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46213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46213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46213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46213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46213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46213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46213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46213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46213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46213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46213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46213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46213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46213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46213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46213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46213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46213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46213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46213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46213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46213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46213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46213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46213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46213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46213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46213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46213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46213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46213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46213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46213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46213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46213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46213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46213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46213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46213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46213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46213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46213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46213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46213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46213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46213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46213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46213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46213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46213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46213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46213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46213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46213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46213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46213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46213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46213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46213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46213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46213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46213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46213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46213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46213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46213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46213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46213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46213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46213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46213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46213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46213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46213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46213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46213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46213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46213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46213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46213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46213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46213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46213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46213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46213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46213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46213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46213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46213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46213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46213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46213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46213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46213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46213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46213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46213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46213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46213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46213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46213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46213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46213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46213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46213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46213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46213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46213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46213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46213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46213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46213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46213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46213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46213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46213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46213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46213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46213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46213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46213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46213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46213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46213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46213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46213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46213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46213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46213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46213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46213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46213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46213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46213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46213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46213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46213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46213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46213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46213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46213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46213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46213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46213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46213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46213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46213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46213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46213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46213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46213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46213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46213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46213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46213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46213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46213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46213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46213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46213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46213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46213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46213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46213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46213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46213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46213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46213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46213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46213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46213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46213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46213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46213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46213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46213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46213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46213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46213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46213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46213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46213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46213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46213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46213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46213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46213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46213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46213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46213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46213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46213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46213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46213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46213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46213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46213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46213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46213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46213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46213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46213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46213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46213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46213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46213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46213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46213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46213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46213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46213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46213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46213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46213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46213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46213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46213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46213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46213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46213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46213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46213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46213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46213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46213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46213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46213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46213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46213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46213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46213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46213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46213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46213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46213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46213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46213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46213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46213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46213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46213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46213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46213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46213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46213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46213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46213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46213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46213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46213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46213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46213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46213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46213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46213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46213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46213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46213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46213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46213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46213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46213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46213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46213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46213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46213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46213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46213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46213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46213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46213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46213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46213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46213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46213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46213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46213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46213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46213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46213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46213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46213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46213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46213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46213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46213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46213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46213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46213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46213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46213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46213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46213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46213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46213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46213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46213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46213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46213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46213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46213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46213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46213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46213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46213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46213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46213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46213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46213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46213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46213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46213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46213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46213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46213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46213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46213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46213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46213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46213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46213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46213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46213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46213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46213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46213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46213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46213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46213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46213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46213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46213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46213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46213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46213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46213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46213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46213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46213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46213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46213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46213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46213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46213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46213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46213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46213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46213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46213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46213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46213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46213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46213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46213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46213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46213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46213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46213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46213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46213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46213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46213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46213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46213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46213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46213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46213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46213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46213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46213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46213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46213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46213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46213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46213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46213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46213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46213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46213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46213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46213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46213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46213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46213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46213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46213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46213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46213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46213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46213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46213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46213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46213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46213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46213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46213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46213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46213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46213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46213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46213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46213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46213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46213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46213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46213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46213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46213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46213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46213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46213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46213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46213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46213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46213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46213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46213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46213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46213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46213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46213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46213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46213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46213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46213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46213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46213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46213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46213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46213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46213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46213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46213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46213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46213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46213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46213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46213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46213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46213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46213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46213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46213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46213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46213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46213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46213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46213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46213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46213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46213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46213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46213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46213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46213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46213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46213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46213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46213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46213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46213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46213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46213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46213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46213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46213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46213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46213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46213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46213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46213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46213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46213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46213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46213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46213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46213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46213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46213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46213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46213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46213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46213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46213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46213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46213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46213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46213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46213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46213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46213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46213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46213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46213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46213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46213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46213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46213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46213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46213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46213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46213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46213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46213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46213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46213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46213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46213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46213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46213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46213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46213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46213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46213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46213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46213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46213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46213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46213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46213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46213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46213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46213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46213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46213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46213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46213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46213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46213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46213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46213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46213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46213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46213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46213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46213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46213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46213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46213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46213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46213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46213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46213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46213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46213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46213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46213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46213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46213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46213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46213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46213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46213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46213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46213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46213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46213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46213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46213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46213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46213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46213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46213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46213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46213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46213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46213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46213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46213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46213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46213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46213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46213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46213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46213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46213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46213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46213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46213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46213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46213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46213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46213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46213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46213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46213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46213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46213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46213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46213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46213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46213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46213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46213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46213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46213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46213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46213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46213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46213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46213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46213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46213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46213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46213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46213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46213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46213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46213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46213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46213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46213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46213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46213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46213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46213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46213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46213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46213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46213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46213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46213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46213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46213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46213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46213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46213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46213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46213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46213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46213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46213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46213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46213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46213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46213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46213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46213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46213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46213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46213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46213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46213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46213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46213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46213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46213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46213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46213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46213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46213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46213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46213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46213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46213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46213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46213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46213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46213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46213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46213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46213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46213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46213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46213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46213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46213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46213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46213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46213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46213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46213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46213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46213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46213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46213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46213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46213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46213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46213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46213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46213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46213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46213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46213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46213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46213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46213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46213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46213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46213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46213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46213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46213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46213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46213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46213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46213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46213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46213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46213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46213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46213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46213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46213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46213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46213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46213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46213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46213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46213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46213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46213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46213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46213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46213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46213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46213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46213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46213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46213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46213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46213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46213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46213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46213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46213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46213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46213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46213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46213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46213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46213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46213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46213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46213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46213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46213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46213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46213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46213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46213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46213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46213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46213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46213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46213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46213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46213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46213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46213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46213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46213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46213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46213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46213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46213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46213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46213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46213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46213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46213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46213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46213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46213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46213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46213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46213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46213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46213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46213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46213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46213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46213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46213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46213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46213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46213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46213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46213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46213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46213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46213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46213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46213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46213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46213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46213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46213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46213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46213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46213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46213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46213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46213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46213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46213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46213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46213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46213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46213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46213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46213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46213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46213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46213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46213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46213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46213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46213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46213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46213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46213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46213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46213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46213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46213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46213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46213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46213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46213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46213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46213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46213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46213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46213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46213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46212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46212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46213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46212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46212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46212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46212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46212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46212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46213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46213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46212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46212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46212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46212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46212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46212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46212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46212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46212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46212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46212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46212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46212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46212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46213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46212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46212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46212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46212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46213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46213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46213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46213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46213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46213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46213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46213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46213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46213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46213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46213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46213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46213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46213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46213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46213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46213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46213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46213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46212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46213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46213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46213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46213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46213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46213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46213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46213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46213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46213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46213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46213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46213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46213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46213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46213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46213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46213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46213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46213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46212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46213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46213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46213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46213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46213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46213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46213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46213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46213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46213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46213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46213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46213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46213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46213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46213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46213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46213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46213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46213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46213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46213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46213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46213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46213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46213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46213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46213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46213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46213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46213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46213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46213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46213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46213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46213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46213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46212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46213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46213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46213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46213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46213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46213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46213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46213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46213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46213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46213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46213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46213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46213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46213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46213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46213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46213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46213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46213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46213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46213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46213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46213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46213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46213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46213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46213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46213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46213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46213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46213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46213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46213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46212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46211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46213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46213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46213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46213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46213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46213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46213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46213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46213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46213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46213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46213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46213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46213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46213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46213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46213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46213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46213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46213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46213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46213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46213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46212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46213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46213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46213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46211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46211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46211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46211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46211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46211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46211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46213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46213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46213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46213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46213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46213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46213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46213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46213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46213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46213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46213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46213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46213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46213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46213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46213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46213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46213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46213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46213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46213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46213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46213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46213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46213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46213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46213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46213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46213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46213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46213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46213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46213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46213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46213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46213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46211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46211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46213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46213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46213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46213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46213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46213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46213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46213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46213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46213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46211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46211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46211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46211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46211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46211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46211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46211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46211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46211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46211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46211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46211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46211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46211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46211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46211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46211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46211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46211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46211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46211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46211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46211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46211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46211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46211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46211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46213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46213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46213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46213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46213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46213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46213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46213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46213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46213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46213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46213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46213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46213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46213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46213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46213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46213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46213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46213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46213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46213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46213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46213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46213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46213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46213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46213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46213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46213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46213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46213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46213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46213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46213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46213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46213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46213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46213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46213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46213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46213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46213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46213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46213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46213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46213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46213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46213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46213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46213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46213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46213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46213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46213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46213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46213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46213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46213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46213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46213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46213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46213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46213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46213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46213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46213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46213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46213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46213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46213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46213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46213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46213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46213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46213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46213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46213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46213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46213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46213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46213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46213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46213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46213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46213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46213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46213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46213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46213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46213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46213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46213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46213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46213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46213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46213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46213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46213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46213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46213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46213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46213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46213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46213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46213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46213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46213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46213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46213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46213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46213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46213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46213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46213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46213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46213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46213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46213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46213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46213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46213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46213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46213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46213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46213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46213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46213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46213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46213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46213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46213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46213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46213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46213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46213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46213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46213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46213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46213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46213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46213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46213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46213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46213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46213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46213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46213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46213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46213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46213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46213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46213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46213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46213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46213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46213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46213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46213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46213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46213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46213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46213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46213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46213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46213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46213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46213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46213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46213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46213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46213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46213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46213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46213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46213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46213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46213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46213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46213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46213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46213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46213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46213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46213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46213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46213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46213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46213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46213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46213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46213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46213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46213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46213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46213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46213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46213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46213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46213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46213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46213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46213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46213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46213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46213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46213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46213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46213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46213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46213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46213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46213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46213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46213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46213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46213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46213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46213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46213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46212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46212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46213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46212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46213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46213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46213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46213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46213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46213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46213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46213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46213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46213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46211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46211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46213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46213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46211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46211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46213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46213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46213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46213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46213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46213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46213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46213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46213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46213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46213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46213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46213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46213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46213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46213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46213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46213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46213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46213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46211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46211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46211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46211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46211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46211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46211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46211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46211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46213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46211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46211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46211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46213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46213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46213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46213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46213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46211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46213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46213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46213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46213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46213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46213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46213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46213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46213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46213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46213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46213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46211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46211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46211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46211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46213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46211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46211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46213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46213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46213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46213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46213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46213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46213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46213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46213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46211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46213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46211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46213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46211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46213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46213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46213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46213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46213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46213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46213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46213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46211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46211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46213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46213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46213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46213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46213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46213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46213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46213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46213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46213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46213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46213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46213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46213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46213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46213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46213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46213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46213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46213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46213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46213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46213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46213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46213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46213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46213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46213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46213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46213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46213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46213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46213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46213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46213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46213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46213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46213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46213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46213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46213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46213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46213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46213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46213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46213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46213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46213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46213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46213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46213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46213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46213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46213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46213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46213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46213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46213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46213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46213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46213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46213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46213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46213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46213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46213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46213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46213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46213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46213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46213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46213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46213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46213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46213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46213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46213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46213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46213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46213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46213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46213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46213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46213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46213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46213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46213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46213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46213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46213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46213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46213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46213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46213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46213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46213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46213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46213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46213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46213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46213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46213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46213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46213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46213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46213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46213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46213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46213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46213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46213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46213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46213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46213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46213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46213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46213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46213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46213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46213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46213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46213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46213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46213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46213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46213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46213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46213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46213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46213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46213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46213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46213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46213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46213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46213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46213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46213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46213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46213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46213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46213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46213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46213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46213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46213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46213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46213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46213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46213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46213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46213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46213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46213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46213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46213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46213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46213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46213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46213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46213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46213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46213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46213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46213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46213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46213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46213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46213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46213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46213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46213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46213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46213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46213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46213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46213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46213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46213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46213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46213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46213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46213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46213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46213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46213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46213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46212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46213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46213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46213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46213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46213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46213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46213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46213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46213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46213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46213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46213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46213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46213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46213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46213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46213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46213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46213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46213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46213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46213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46213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46212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46212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46213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46213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46213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46213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46213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46213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46213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46213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46213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46213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46213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46213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46213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46213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46213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46213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46213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46213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46213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46213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46213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46213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46213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46213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46213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46213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46213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46213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46213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46213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46213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46213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46213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46213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46213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46213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46213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46213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46213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46213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46213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46213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46213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46213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46213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46213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46211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46213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46213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46213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46213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46213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46213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46213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46213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46213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46213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46213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46213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46213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46213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46213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46213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46213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46213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46213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46213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46213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46213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46213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46213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46213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46213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46213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46213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46213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46213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46213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46213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46213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46213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46213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46213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46213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46213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46213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46213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46213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46213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46213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46213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46213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46213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46213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46213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46213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46213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46213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46213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46213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46213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46213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46213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46213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46213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46213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46213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46213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46213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46213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46213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46213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46213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46213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46213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46213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46213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46213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46213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46213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46213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46213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46213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46213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46213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46213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46213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46213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46213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46213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46213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46213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46213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46213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46213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46213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46213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46213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46213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46213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46213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46213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46213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46213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46213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46213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46213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46213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46213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46213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46213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46213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46213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46213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46213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46213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46213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46213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46213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46213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46213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46213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46213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46213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46213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46213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46213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46213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46213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46213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46213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46213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46213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46213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46213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46213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46213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46213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46213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46213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46213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46213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46213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46213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46213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46213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46213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46213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46213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46213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46213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46213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46213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46213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46213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46213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46213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46213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46213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46213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46213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46213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46213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46213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46213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46213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46213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46213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46213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46213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46213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46213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46213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46213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46213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46213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46213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46213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46213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46213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46213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46213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46213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46213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46213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46213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46213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46213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46213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46213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46213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46213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46213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46213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46213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46213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46213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46213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46213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46213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46213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46213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46213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46213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46213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46213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46213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46213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46213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46213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46213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46213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46213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46213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46213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46213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46213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46213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46213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46213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46213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46213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46213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46213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46213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46213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46213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46213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46213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46213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46213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46213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46213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46213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46213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46213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46213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46213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46213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46213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46213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46213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46213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46213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46213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46213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46213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46213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46213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46213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46213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46213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46213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46213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46213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46213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46213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46213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46213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46213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46213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46213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46213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46213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46213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46213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46213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46213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46213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46213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46213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46213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46213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46213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46213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46213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46213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46213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46213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46213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46213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46213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46213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46213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46213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46213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46213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46213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46213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46213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46213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46213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46213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46213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46213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46213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46213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46213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46213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46213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46213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46213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46213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46213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46213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46213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46213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46213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46213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46213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46213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46213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46213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46213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46213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46213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46213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46213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46213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46213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46213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46213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46213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46213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46213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46213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46213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46213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46213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46213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46213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46213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46213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46213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46213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46213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46213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46213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46213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46213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46213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46213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46213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46213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46213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46213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46213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46213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46213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46213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46213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46213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46213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46213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46213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46213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46213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46213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46213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46213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46213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46213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46213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46213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46213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46213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46213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46213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46213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46213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46213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46213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46213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46213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46213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46213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46213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46213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46213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46213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46213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46213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46213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46213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46213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46213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46213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46213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46213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46213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46213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46213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46213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46213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46213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46213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46213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46213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46213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46213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46213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46213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46213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46213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46213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46213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46213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46213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46213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46213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46213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46213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46213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46213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46213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46213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46213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46213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46213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46213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46213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46213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46213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46213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46213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46213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46213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46213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46213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46213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46213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46213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46213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46213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46213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46213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46213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46213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46213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46213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46213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46213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46213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46213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46213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46213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46213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46213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46213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46213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46213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46213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46213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46213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46213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46213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46213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46213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46213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46213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46213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46213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46213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46213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46213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46213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46213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46213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46213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46213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46213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46213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46213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46213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46213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46213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46213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46213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46213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46213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46213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46213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46213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46213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46213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46213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46213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46213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46213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46213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46213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46213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46213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46213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46213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46213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46213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46213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46213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46213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46213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46213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46213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46213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46213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46213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46213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46213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46213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46213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46213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46213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46213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46213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46213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46213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46213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46213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46213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46213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46213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46213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46213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46213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46213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46213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46213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46213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46213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46213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46213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46213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46213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46213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46213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46213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46213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46213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46213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46213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46213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46213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46213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46213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46213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46213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46213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46213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46213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46213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46213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46213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46213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46213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46213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46213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46213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46213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46213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46213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46213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46213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46213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46213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46213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46213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46213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46213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46213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46213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46213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46213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46213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46213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46213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46213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46213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46213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46213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46213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46213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46213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46213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46213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46213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46213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46213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46213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46213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46213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46213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46213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46213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46213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46213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46213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46213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46213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46213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46213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46213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46213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46213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46213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46213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46213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46213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46213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46213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46213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46213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46213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46213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46213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46213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46213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46213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46213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46213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46213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46213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46213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46213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46213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46213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46213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46213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46213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46213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46213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46213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46213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46213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46213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46213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46213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46213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46213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46213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46213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46213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46213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46213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46213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46213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46213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46213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46213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46213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46213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46213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46213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46213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46213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46213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46213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46213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46213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46213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46213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46213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46213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46213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46213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46213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46213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46213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46213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46213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46213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46213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46213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46213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46213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46213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46213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46213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46213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46213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46213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46213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46213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46213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46213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46213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46213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46213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46213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46213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46213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46213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46213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46213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46213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46213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46213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46213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46213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46213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46213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46213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46213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46213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46213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46213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46213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46213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46213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46213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46213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46213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46213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46213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46213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46213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46213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46213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46213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46213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46213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46213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46213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46213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46213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46213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46213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46213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46213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46213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46213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46213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46213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46213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46213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46213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46213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46213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46213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46213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46213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46213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46213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46213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46213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46213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46213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46213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46213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46213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46213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46213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46213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46213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46213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46213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46213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46213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46213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46213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46213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46213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46213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46213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46213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46213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46213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46213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46213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46213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46213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46213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46213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46213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46213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46213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46213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46213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46213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46213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46213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46213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46213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46213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46213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46213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46213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46213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46213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46213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46213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46213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46213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46213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46213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46213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46213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46213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46213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46213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46213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46213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46213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46213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46213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46213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46213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46213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46213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46213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46213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46213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46213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46213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46213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46213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46213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46213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46213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46213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46213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46213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46213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46213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46213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46213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46213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46213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46213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46213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46213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46213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46213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46213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46213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46213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46213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46213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46213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46213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46213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46213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46213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46213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46213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46213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46213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46213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46213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46213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46213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46213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46213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46213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46213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46213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46213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46213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46213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46213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46213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46213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46213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46213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46213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46213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46213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46213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46213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46213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46213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46213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46213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46213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46213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46213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46213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46213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46213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46213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46213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46213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46213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46213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46213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46213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46213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46213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46213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46213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46213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46213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46213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46213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46213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46213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46213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46213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46213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46213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46213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46213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46213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46213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46213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46213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46213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46213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46213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46213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46213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46213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46213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46213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46213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46213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46213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46213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46213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46213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46213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46213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46213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46213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46213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46213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46213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46213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46213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46213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46213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46213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46213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46213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46213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46213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46213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46213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46213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46213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46213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46213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46213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46213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46213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46213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46213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46213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46213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46213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46213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46213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46213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46213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46213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46213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46213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46213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46213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46213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46213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46213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46213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46213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46213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46213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46213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46213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46213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46213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46213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46213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46213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46213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46213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46213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46213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46213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46213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46213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46213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46213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46213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46213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46213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46213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46213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46213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46213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46213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46213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46213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46213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46213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46213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46213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46213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46213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46213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46213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46213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46213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46213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46213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46213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46213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46213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46213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46213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46213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46213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46213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46213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46213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46213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46213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46213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46213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46213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46213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46213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46213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46213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46213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46213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46213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46213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46213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46213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46213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46213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46213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46213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46213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46213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46213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46213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46213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46213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46213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46213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46213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46213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46213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46213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46213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46213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46213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46213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46213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46213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46213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46213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46213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46213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46213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46213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46213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46213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46213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46213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46213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46213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46213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46213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46213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46213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46213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46213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46213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46213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46213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46213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46213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46213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46213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46213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46213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46213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46213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46213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46213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46213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46213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46213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46213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46213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46213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46213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46213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46213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46213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46213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46213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46213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46213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46213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46213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46213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46213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46213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46213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46213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46213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46213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46213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46213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46213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46213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46213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46213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46213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46213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46213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46213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46213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46213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46213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46213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46213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46213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46213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46213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46213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46213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46213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46213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46213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46213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46213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46213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46213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46213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46213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46213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46213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46213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46213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46213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46213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46213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46213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46213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46213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46213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46213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46213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46213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46213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46213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46213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46213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46213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46213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46213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46213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46213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46213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46213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46213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46213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46213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46213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46213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46213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46213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46213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46213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46213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46213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46213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46213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46213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46213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46213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46213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46213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46213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46213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46213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46213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46213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46213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46213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46213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46213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46213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46213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46213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46213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46213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46213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46213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46213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46213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46213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46213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46213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46213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46213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46213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46213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46213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46213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46213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46213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46213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46213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46213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46213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46213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46213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46213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46213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46213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46213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46213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46213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46213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46213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46213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46213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46213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46213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46213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46213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46213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46213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46213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46213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46213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46213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46213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46213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46213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46213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46213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46213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46213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46213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46213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46213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46213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46213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46213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46213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46213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46213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46213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46213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46213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46213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46213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46213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46213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46213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46213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46213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46213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46213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46213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46213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46213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46213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46213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46213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46213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46213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46213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46213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46213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46213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46213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46213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46213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46213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46213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46213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46213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46213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46213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46213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46213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46213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46213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46213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46213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46213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46213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46213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46213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46213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46213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46213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46213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46213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46213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46213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46213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46213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46213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46213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46213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46213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46213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46213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46213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46213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46213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46213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46213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46213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46213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46213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46213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46213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46213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46213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46213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46213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46213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46213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46213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46213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46213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46213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46213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46213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46213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46213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46213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46213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46213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46213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46213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46213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46213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46213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46213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46213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46213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46213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46213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46213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46213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46213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46213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46213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46213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46213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46213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46213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46213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46213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46213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46213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46213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46213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46213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46213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46213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46213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46213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46213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46213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46213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46213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46213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46213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46213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46213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46213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46213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46213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46213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46213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46213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46213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46213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46213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46213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46213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46213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46213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46213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46213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46213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46213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46213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46213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46213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46213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46213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46213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46213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46213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46213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46213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46213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46213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46213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46213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46213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46213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46213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46213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46213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46213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46213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46213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46213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46213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46213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46213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46213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46213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46213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46213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46213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46213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46213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46213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46213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46213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46213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46213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46213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46213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46213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46212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46213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46213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46213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46213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46213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46213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46213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46213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46213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46213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46213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46213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46213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46213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46213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46213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46213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46213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46213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46213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46213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46213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46213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46213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46213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46213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46213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46213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46213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46213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46213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46213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46213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46213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46213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46213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46213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46213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46213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46213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46213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46213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46213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46213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46213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46213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46213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46213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46213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46213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46213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46213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46213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46213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46213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46213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46213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46213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46213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46213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46213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46213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46213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46213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46213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46213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46213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46213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46213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46213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46213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46213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46213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46213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46213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46213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46213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46213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46213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46213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46213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46213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46213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46213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46213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46213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46213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46213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46213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46213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46213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46213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46213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46213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46213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46213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46213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46213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46213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46213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46213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46213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46213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46213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46213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46213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46213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46213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46213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46213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46213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46213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46213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46213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46213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46213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46213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46213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46213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46213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46213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46213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46213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46213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46213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46213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46213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46213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46213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46213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46213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46213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46213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46213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46213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46213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46213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46213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46213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46213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46213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46213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46213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46213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46213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46213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46213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46213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46213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46213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46213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46213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46213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46213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46213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46213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46213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46213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46213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46213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46213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46213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46213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46213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46213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46213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46213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46213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46213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46213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46213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46213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46213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46213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46213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46213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46213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46213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46213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46213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46213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46213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46213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46213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46213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46213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46213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46213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46213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46213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46213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46213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46213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46213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46213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46213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46213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46213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46213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46213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46213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46213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46213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46213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46213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46213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46213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46213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46213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46213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46213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46213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46213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46213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46213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46213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46213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46213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46213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46213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46213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46213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46213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46213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46213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46213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46213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46213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46213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46213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46213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46213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46213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46213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46213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46213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46213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46213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46213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46213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46213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46213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46213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46213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46213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46213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46213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46213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46213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46213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46213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46213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46213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46213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46213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46213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46213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46213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46213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46213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46213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46213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46213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46213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46213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46213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46213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46213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46213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46213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46213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46213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46213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46213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46213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46213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46213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46213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46213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46213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46213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46213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46213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46213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46213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46213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46213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46213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46213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46213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46213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46213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46213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46213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46213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46213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46213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46213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46213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46213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46213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46213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46213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46213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46213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46213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46213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46213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46213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46213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46213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46213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46213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46213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46213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46213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46213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46213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46213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46213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46213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46213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46213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46213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46213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46213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46213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46213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46213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46213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46213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46213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46213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46213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46213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46213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46213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46213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46213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46213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46213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46213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46213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46213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46213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46213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46213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46213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46213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46213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46213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46213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46213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46213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46213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46213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46213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46213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46213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46213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46213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46213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46213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46213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46213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46213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46213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46213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46213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46213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46213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46213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46213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46213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46213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46213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46213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46213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46213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46213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46213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46213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46213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46213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46213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46213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46213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46213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46213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46213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46213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46213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46213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46213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46213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46213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46213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46213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46213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46213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46213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46213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46213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46213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46213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46213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46213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46213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46213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46213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46213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46213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46213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46213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46213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46213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46213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46213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46213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46213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46213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46213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46213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46213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46213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46213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46213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46213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46213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46213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46213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46213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46213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46213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46213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46213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46213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46213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46213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46213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46213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46213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46213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46213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46213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46213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46213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46213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46213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46213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46213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46213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46213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46213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46213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46213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46213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46213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46213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46213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46213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46213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46213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46213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46213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46213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46213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46213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46213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46213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46213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46213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46213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46213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46213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46213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46213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46213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46213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46213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46213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46213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46213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46213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46213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46213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46213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46213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46213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46213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46213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46213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46213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46213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46213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46213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46213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46213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46213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46213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46213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46213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46213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46213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46213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46213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46213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46213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46213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46213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46213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46213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46213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46213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46213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46213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46213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46213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46213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46213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46213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46213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46213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46213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46213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46213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46213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46213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46213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46213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46213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46213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46213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46213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46213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46213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46213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46213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46213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46213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46213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46213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46213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46213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46213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46213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46213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46213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46213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46213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46213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46213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46213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46213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46213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46213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46213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46213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46213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46213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46213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46213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46213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46213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46213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46213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46213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46213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46213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46213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46213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46213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46213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46213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46213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46213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46213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46213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46213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46213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46213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46213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46213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46213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46213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46213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46213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46213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46213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46213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46213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46213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46213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46213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46213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46213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46213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46213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46213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46213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46213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46213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46213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46213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46213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46213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46213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46213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46213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46213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46213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46213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46213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46213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46213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46213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46213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46213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46213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46213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46213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46213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46213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46213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46213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46213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46213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46213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46213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46213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46213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46213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46213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46213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46213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46213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46213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46213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46213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46213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46213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46213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46213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46213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46213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46213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46213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46213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46213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46213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46213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46213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46213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46213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46213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46213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46213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46213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46213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46213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46213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46213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46213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46213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46213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46213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46213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46213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46213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46213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46213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46213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46213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46213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46213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46213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46212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46213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46213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46212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46212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46212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46213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46213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46213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46213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46213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46213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46213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46213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46213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46213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46213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46213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46213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46213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46213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46213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46213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46213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46213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46213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46213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46213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46213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46213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46213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46213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46213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46213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46213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46213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46213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46213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46213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46213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46213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46213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46213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46213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46213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46213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46213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46213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46213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46213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46213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46213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46213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46213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46213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46213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46213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46213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46213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46213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46213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46213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46213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46213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46213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46213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46213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46213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46213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46213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46213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46213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46213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46213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46213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46213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46213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46213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46213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46213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46213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46213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46213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46213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46213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46213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46213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46213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46213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46213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46213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46213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46213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46213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46213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46213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46213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46213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46213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46213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46213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46213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46213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46213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46213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46213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46213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46213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46213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46213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46213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46213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46213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46213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46213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46213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46213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46213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46213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46213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46213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46213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46213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46213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46213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46213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46213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46213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46213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46213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46213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46213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46213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46213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46213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46213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46213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46213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46213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46213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46213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46213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46213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46213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46213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46213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46213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46213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46213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46213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46213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46213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46213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46213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46213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46213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46213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46213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46213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46213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46213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46213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46213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46213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46213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46213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46213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46213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46213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46213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46213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46213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46213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46213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46213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46213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46213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46213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46213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46213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46213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46213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46213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46213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46213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46213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46213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46213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46213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46213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46213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46213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46213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46213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46213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46213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46213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46213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46213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46213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46213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46213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46213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46213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46213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46213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46213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46213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46213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46213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46213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46213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46213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46213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46213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46213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46213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46213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46213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46213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46213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46213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46213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46213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46213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46213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46213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46213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46213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46213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46213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46213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46213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46213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46213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46213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46213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46213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46213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46213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46213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46213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46213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46213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46213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46213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46213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46213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46213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46213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46213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46213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46213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46213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46213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46213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46213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46213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46213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46213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46213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46213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46213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46213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46213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46213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46213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46213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46213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46213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46213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46213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46213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46213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46213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46213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46213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46213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46213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46213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46213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46213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46213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46213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46213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46213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46213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46213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46213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46213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46213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46213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46213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46213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46213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46213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46213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46213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46213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46213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46213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46213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46213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46213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46213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46213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46213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46213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46213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46213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46213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46213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46213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46213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46213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46213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46213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46213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46213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46213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46213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46213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46213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46213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46213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46213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46213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46213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46213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46213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46213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46213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46213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46213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46213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46213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46213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46213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46213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46213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46213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46213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46213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46213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46213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46213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46213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46213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46213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46213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46213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46213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46213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46213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46213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46213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46213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46213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46213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46213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46213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46213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46213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46213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46213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46213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46213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46213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46213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46213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46213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46213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46213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46213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46213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46213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46213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46213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46213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46213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46213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46213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46213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46213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46213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46213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46213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46213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46213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46213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46213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46213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46213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46213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46213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46213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46213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46213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46213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46213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46213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46213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46213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46213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46213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46213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46213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46213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46213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46213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46213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46213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46213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46213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46213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46213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46213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46213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46213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46213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46213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46213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46213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46213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46213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46213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46213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46213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46213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46213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46213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46213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46213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46213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46213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46213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46213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46213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46213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46213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46213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46213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46213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46213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46213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46213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46213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46213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46213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46213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46213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46213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46213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46213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46213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46213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46213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46213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46213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46213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46213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46213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46213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46213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46213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46213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46213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46213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46213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46213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46213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46213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46213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46213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46213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46213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46213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46213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46213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46213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46213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46213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46213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46213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46213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46213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46213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46213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46213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46213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46213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46213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46213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46213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46213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46213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46213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46213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46213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46213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46213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46213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46213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46213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46213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46213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46213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46213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46213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46213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46213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46213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46213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46213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46213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46213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46213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46213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46213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46213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46213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46213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46213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46213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46213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46213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46213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46213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46213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46213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46213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46213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46213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46213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46213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46213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46213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46213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46213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46213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46213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46213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46213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46213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46213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46213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46213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46213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46213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46213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46213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46213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46213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46213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46213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46213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46213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46213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46213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46213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46213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46213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46213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46213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46213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46213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46213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46213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46213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46213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46213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46213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46213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46213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46213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46213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46213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46213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46213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46213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46213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46213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46213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46213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46213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46213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46213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46213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46213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46213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46213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46213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46213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46213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46213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46213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46213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46213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46213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46213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46213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46213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46213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46213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46213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46213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46213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46213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46213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46213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46213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46213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46213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46213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46213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46213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46213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46213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46213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46213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46213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46213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46213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46213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46213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46213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46213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46213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46213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46213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46213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46213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46213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46213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46213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46213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46213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46213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46213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46213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46213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46213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46213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46213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46213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46213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46213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46213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46213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46213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46213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46213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46213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46213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46213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46213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46213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46213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46213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46213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46213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46213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46213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46213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46213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46213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46213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46213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46213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46213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46213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46213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46213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46213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46213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46213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46213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46213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46213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46213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46213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46213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46213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46213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46213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46213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46213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46213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46213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46213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46213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46213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46213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46213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46213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46213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46213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46213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46213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46213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46213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46213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46213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46213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46213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46213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46213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46213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46213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46213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46213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46213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46213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46213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46213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46213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46213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46213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46213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46213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46213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46213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46213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46213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46213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46213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46213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46213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46213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46213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46213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46213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46213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46213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46213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46213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46213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46213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46213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46213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46213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46213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46213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46213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46213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46213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46213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46213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46213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46213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46213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46213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46213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46213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46213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46213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46213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46213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46213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46213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46213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46213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46213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46213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46213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46213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46213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46213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46213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46213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46213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46213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46213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46213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46213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46213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46213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46213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46213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46213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46213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46213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46213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46213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46213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46213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46213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46213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46213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46213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46213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46213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46213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46213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46213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46213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46213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46213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46213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46213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46213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46213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46213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46213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46213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46213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46213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46213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46213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46213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46213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46213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46213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46213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46213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46213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46213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46213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46213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46213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46213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46213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46213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46213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46213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46213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46213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46213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46213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46213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46213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46213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46213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46213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46213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46213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46213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46213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46213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46213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46213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46213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46213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46213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46213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46213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46213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46213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46213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46213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46213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46213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46213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46213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46213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46213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46213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46213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46213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46213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46213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46213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46213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46213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46213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46213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46213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46213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46213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46213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46213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46213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46213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46213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46213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46213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46213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46213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46213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46213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46213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46213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46213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46213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46213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46213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46213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46213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46213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46213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46213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46213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46213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46213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46213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46213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46213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46213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46213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46213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46213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46213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46213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46213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46213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46213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46213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46213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46213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46213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46213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46213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46213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46213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46213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46213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46213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46213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46213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46213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46213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46213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46213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46213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46213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46213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46213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46213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46213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46213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46213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46213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46213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46213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46213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46213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46213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46213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46213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46213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46213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46213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46213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46213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46213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46213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46213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46213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46213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46213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46213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46213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46213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46213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46213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46213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46213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46213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46213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46213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46213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46213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46213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46213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46213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46213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46213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46213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46213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46213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46213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46213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46213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46213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46213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46213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46213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46213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46213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46213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46213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46213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46213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46213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46213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46213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46213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46213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46213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46213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46213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46213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46213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46213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46213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46213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46213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46213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46213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46213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46213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46213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46213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46213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46213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46213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46213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46213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46213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46213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46213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46213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46213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46213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46213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46213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46213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46213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46213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46213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46213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46213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46213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46213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46213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46213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46213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46213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46213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46213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46213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46213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46213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46213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46213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46213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46213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46213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46213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46213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46213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46213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46213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46213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46213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46213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46213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46213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46213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46213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46213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46213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46213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46213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46213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46213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46213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46213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46213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46213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46213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46213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46213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46213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46213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46213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46213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46213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46213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46213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46213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46213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46213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46213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46213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46213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46213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46213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46213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46213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46213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46213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46213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46213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46213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46213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46213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46213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46213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46213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46213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46213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46213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46213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46213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46213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46213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46213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46213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46213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46213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46213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46213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46213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46213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46213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46213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46213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46213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46213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46213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46213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46213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46213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46213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46213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46213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46213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46213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46213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46213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46213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46213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46213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46213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46213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46213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46213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46213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46213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46213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46213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46213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46213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46213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46213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46213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46213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46213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46213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46213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46213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46213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46213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46213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46213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46213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46213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46213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46213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46213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46213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46213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46213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46213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46213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46213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46213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46213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46213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46213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46213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46213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46213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46213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46213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46213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46213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46213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46213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46213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46213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46213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46213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46213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46213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46213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46213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46213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46213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46213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46213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46213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46213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46213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46213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46213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46213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46213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46213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46213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46213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46213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46213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46213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46213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46213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46213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46213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46213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46213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46213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46213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46213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46213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46213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46213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46213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46213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46213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46213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46213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46213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46213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46213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46213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46213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46213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46213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46213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46213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46213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46213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46213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46213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46213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46213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46213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46213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46213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46213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46213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46213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46213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46213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46213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46213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46213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46213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46213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46213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46213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46213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46213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46213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46213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46213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46213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46213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46213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46213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46213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46213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46213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46213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46213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46213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46213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46213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46213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46213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46213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46213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46213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46213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46213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46213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46213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46213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46213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46213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46213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46213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46213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46213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46213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46213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46213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46213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46213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46213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46213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46213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46213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46213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46213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46213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46213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46213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46213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46213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46213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46213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46213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46213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46213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46213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46213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46213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46213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46213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46213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46213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46213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46213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46213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46213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46213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46213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46213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46213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46213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46213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46213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46213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46213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46213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46213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46213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46213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46213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46213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46213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46213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46213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46213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46213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46213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46213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46213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46213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46213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46213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46213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46213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46213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46213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46213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46213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46213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46213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46213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46213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46213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46213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46213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46213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46213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46213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46213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46213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46213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46213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46213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46213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46213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46213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46213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46213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46213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46213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46213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46213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46213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46213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46213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46213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46213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46213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46213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46213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46213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46213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46213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46213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46213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46213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46213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46213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46213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46213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46213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46213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46213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46213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46213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46213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46213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46213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46213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46213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46213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46213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46213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46213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46213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46213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46213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46213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46213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46213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46213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46213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46213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46213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46213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46213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46213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46213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46213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46213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46213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46213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46213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46213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46213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46213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46213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46213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46213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46213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46213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46213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46213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46213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46213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46213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46213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46213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46213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46213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46213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46213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46213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46213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46213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46213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46213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46213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46213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46213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46213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46213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46213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46213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46213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46213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46213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46213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46213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46213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46213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46213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46213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46213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46213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46213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46213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46213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46213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46213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46213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46213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46213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46213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46213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46213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46213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46213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46213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46213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46213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46213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46213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46213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46213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46213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46213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46213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46213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46213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46213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46213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46213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46213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46213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46213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46213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46213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46213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46213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46213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46213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46213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46213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46213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46213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46213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46213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46213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46213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46213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46213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46213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46213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46213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46213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46213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46213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46213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46213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46213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46213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46213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46213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46213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46213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46213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46213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46213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46213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46213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46213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46213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46213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46213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46213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46213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46213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46213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46213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46213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46213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46213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46213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46213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46213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46213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46213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46213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46213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46213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46213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46213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46213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46213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46213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46213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46213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46213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46213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46213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46213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46213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46213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46213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46213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46213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46213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46213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46213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46213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46213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46213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46213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46213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46213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46213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46213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46213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46213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46213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46213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46213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46213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46213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46213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46213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46213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46213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46213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46213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46213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46213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46213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46213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46213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46213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46213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46213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46213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46213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46213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46213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46213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46213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46213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46213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46213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46213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46213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46213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46213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46213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46213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46213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46213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46213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46213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46213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46213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46213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46213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46213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46213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46213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46213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46213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46213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46213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46213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46213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46213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46213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46213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46213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46213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46213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46213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46213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46213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46213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46213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46213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46213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46213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46213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46213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46213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46213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46213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46213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46213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46213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46213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46213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46213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46213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46213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46213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46213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46213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46213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46213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46213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46213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46213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46213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46213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46213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46213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46213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46213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46213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46213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46213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46213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46213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46213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46213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46213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46213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46213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46213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46213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46213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46213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46213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46213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46213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46213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46213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46213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46213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46213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46213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46213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46213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46213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46213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46213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46213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46213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46213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46213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46213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46213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46213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46213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46213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46213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46213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46213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46213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46213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46213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46213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46213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46213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46213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46213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46213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46213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46213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46213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46213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46213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46213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46213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46213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46213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46213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46213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46213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46213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46213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46213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46213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46213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46213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46213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46213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46213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46213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46213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46213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46213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46213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46213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46213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46213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46213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46213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46213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46213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46213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46213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46213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46213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46213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46213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46213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46213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46213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46213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46213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46213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46213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46213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46213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46213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46213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46213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46213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46213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46213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46213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46213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46213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46213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46213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46213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46213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46213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46213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46213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46213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46213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46213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46213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46213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46213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46213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46213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46213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46213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46213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46213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46213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46213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46213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46213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46213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46213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46213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46213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46213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46213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46213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46213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46213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46213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46213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46213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46213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46213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46213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46213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46213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46213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46213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46213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46213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46213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46213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46213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46213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46213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46213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46213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46213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46213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46213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46213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46213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46213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46213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46213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46213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46213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46213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46213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46213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46213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46213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46213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46213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46213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46213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46213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46213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46213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46213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46213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46213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46213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46213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46213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46213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46213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46213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46213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46213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46213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46213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46213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46213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46213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46213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46213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46213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46213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46213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46213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46213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46213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46213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46213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46213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46213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46213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46213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46213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46213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46213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46213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46213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46213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46213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46213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46213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46213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46213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46213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46213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46213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46213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46213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46213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46213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46213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46213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46213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46213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46213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46213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46213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46213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46213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46213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46213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46213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46213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46213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46213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46213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46213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46213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46213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46213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46213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46213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46213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46213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46213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46213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46213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46213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46213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46213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46213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46213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46213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46213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46213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46213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46213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46213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46213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46213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46213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46213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46213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46213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46213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46213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46213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46213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46213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46213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46213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46213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46213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46213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46213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46213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46213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46213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46213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46213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46213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46213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46213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46213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46213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46213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46213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46213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46213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46213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46213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46213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46213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46213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46213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46213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46213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46213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46213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46213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46213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46213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46213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46213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46213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46213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46213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46213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46213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46213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46213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46213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46213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46213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46213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46213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46213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46213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46213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46213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46213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46213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46213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46213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46213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46213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46213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46213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46213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46213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46213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46213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46213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46213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46213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46213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46213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46213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46213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46213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46213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46213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46213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46213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46213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46213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46213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46213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46213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46213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46213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46213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46213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46213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46213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46213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46213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46213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46213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46213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46213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46213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46213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46213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46213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46213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46213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46213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46213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46213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46213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46213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46213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46213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46213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46213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46213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46213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46213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46213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46213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46213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46213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46213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46213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46213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46213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46213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46213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46213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46213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46213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46213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46213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46213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46213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46213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46213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46213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46213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46213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46213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46213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46213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46213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46213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46213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46213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46213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46213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46213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46213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46213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46213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46213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46213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46213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46213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46213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46213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46213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46213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46213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46213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46213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46213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46213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46213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46213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46213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46213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46213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46213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46213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46213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46213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46213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46213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46213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46213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46213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46213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46213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46213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46213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46213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46213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46213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46213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46213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46213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46213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46213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46213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46213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46213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46213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46213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46213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46213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46213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46213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46213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46213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46213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46213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46213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46213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46213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46213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46213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46213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46213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46213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46213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46213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46213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46213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46213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46213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46213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46213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46213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46213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46213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46213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46213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46213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46213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46213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46213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46213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46213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46213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46213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46213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46213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46213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46213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46213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46213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46213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46213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46213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46213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46213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46213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46213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46213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46213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46213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46213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46213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46213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46213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46213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46213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46213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46213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46213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46213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46213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46213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46213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46213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46213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46213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46213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46213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46213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46213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46213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46213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46213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46213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46213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46213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46213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46213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46213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46213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46213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46213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46213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46213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46213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46213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46213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46213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46213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46213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46213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46213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46213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46213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46213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46213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46213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46213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46213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46213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46213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46213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46213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46213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46213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46213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46213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46213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46213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46213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46213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46213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46213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46213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46213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46213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46213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46213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46213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46213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46213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46213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46213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46213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46213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46213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46213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46213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46213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46213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46213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46213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46213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46213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46213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46213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46213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46213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46213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46213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46213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46213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46213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46213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46213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46213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46213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46213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46213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46213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46213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46213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46213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46213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46213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46213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46213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46213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46213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46213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46213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46213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46213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46213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46213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46213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46213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46213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46213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46213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46213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46213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46213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46213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46213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46213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46213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46213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46213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46213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46213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46213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46213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46213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46213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46213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46213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46213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46213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46213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46213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46213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46213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46213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46213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46213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46213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46213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46213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46213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46213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46213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46213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46213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46213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46213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46213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46213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46213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46213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46213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46213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46213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46213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46213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46213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46213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46213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46213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46213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46213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46213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46213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46213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46213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46213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46213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46213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46213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46213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46213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46213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46213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46213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46213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46213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46213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46213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46213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46213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46213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46213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46213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46213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46213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46213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46213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46213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46213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46213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46213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46213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46213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46213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46213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46213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46213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46213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46213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46213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46213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46213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46213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46213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46213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46213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46213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46213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46213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46213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46213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46213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46213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46213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46213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46213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46213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46213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46213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46213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46213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46213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46213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46213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46213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46213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46213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46213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46213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46213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46213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46213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46213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46213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46213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46213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46213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46213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46213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46213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46213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46213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46213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46213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46213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46213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46213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46213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46213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46213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46213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46213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46213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46213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46213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46213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46213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46213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46213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46213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46213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46213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46213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46213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46213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46213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46213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46213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46213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46213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46213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46213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46213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46213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46213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46213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46213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46213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46213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46213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46213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46213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46213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46213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46213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46213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46213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46213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46213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46213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46213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46213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46213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46213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46213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46213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46213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46213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46213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46213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46213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46213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46213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46213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46213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46213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46213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46213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46213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46213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46213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46213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46213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46213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46213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46213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46213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46213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46213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46213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46213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46213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46213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46213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46213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46213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46213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46213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46213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46213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46213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46213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46213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46213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46213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46213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46213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46213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46213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46213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46213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46213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46213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46213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46213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46213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46213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46213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46213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46213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46213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46213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46213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46213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46213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46213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46213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46213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46213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46213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46213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46213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46213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46213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46213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46213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46213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46213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46213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46213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46213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46213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46213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46213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46213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46213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46213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46213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46213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46213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46213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46213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46213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46213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46213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46213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46213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46213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46213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46213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46213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46213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46213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46213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46213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46213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46213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46213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46213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46213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46213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46213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46213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46213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46213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46213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46213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46213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46213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46213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46213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46213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46213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46213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46213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46213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46213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46213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46213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46213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46213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46213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46213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46213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46213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46213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46213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46213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46213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46213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46213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46213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46213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46213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46213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46213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46213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46213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46213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46213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46213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46213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46213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46213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46213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46213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46213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46213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46213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46213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46213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46213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46213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46213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46213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46213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46213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46213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46213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46213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46213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46213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46213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46213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46213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46213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46213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46213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46213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46213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46213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46213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46213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46213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46213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46213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46213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46213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46213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46213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46213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46213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46213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46213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46213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46213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46213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46213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46213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46213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46213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46213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46213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46213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46213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46213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46213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46213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46213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46213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46213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46213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46213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46213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46213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46213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46213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46213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46213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46213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46213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46213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46213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46213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46213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46213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46213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46213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46213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46213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46213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46213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46213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46213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46213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46213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46213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46213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46213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46213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46213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46213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46213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46213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46213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46213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46213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46213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46213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46213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46213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46213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46213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46213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46213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46213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46213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46213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46213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46213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46213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46213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46213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46213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46213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46213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46213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46213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46213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46213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46213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46213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46213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46213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46213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46213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46213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46213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46213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46213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46213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46213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46213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46213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46213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46213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46213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46213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46213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46213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46213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46213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46213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46213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46213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46213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46213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46213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46213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46213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46213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46213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46213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46213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46213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46213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46213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46213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46213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46213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46213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46213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46213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46213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46213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46213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46213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46213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46213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46213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46213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46213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46213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46213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46213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46213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46213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46213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46213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46213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46213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46213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46213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46213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46213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46213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46213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46213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46213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46213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46213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46213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46213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46213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46213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46213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46213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46213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46213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46213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46213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46213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46213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46213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46213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46213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46213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46213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46213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46213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46213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46213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46213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46213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46213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46213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46213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46213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46213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46213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46213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46213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46213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46213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46213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46213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46213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46213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46213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46213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46213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46213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46213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46213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46213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46213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46213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46213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46213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46213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46213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46213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46213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46213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46213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46213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46213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46213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46213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46213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46213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46213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46213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46213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46213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46213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46213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46213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46213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46213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46213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46213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46213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46213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46213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46213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46213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46213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46213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46213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46213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46213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46213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46213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46213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46213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46213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46213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46213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46213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46213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46213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46213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46213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46213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46213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46213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46213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46213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46213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46213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46213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46213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46213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46213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46213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46213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46213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46213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46213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46213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46213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46213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46213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46213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46213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46213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46213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46213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46213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46213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46213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46213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46213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46213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46213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46213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46213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46213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46213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46213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46213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46213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46213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46213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46213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46213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46213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46213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46213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46213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46213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46213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46213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46213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46213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46213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46213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46213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46213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46213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46213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46213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46213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46213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46213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46213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46213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46213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46213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46213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46213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46213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46213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46213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46213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46213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46213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46213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46213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46213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46213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46213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46213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46213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46213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46213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46213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46213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46213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46213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46213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46213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46213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46213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46213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46213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46213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46213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46213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46213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46213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46213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46213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46213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46213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46213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46213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46213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46213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46213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46213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46213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46213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46213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46213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46213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46213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46213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46213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46213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46213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46213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46213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46213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46213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46213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46213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46213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46213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46213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46213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46213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46213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46213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46213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46213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46213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46213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46213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46213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46213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46213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46213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46213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46213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46213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46213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46213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46213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46213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46213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46213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46213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46213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46213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46213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46213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46213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46213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46213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46213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46213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46213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46213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46213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46213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46213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46213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46213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46213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46213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46213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46213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46213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46213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46213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46213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46213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46213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46213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46213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46213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46213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46213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46213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46213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46213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46213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46213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46213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46213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46213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46213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46213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46213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46213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46213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46213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46213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46213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46213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46213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46213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46213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46213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46213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46213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46213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46213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46213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46213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46213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46213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46213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46213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46213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46213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46213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46213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46213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46213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46213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46213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46213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46213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46213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46213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46213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46213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46213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46213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46213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46213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46213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46213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46213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46213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46213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46213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46213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46213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46213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46213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46213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46213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46213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46213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46213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46213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46213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46213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46213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46213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46213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46213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46213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46213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46213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46213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46213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46213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46213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46213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46213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46213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46213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46213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46213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46213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46213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46213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46213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46213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46213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46213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46213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46213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46213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46213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46213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46213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46213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46213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46213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46213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46213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46213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46213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46213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46213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46213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46213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46213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46213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46213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46213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46213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46213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46213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46213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46213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46213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46213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46213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46213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46213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46213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46213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46213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46213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46213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46213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46213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46213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46213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46213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46213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46213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46213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46213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46213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46213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46213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46213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46213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46213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46213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46213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46213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46213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46213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46213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46213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46213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46213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46213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46213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46213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46213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46213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46213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46213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46213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46213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46213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46213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46213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46213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46213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46213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46213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46213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46213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46213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46213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46213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46213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46213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46213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46213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46213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46213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46213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46213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46213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46213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46213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46213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46213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46213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46213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46213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46213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46213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46213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46213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46213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46213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46213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46213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46213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46213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46213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46213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46213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46213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46213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46213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46213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46213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46213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46213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46213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46213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46213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46213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46213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46213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46213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46213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46213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46213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46213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46213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46213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46213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46213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46213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46213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46213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46213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46213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46213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46213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46213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46213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46213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46213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46213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46213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46213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46213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46213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46213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46213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46213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46213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46213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46213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46213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46213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46213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46213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46213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46213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46213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46213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46213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46213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46213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46213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46213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46213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46213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46213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46213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46213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46213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46213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46213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46213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46213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46213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46213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46213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46213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46213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46213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46213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46213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46213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46213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46213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46213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46213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46213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46213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46213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46213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46213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46213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46213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46213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46213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46213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46213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46213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46213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46213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46213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46213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46213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46213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46213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46213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46213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46213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46213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46213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46213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46213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46213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46213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46213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46213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46213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46213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46213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46213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46213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46213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46213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46213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46213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46213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46213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46213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46213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46213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46213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46213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46213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46213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46213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46213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46213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46213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46213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46213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46213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46213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46213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46213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46213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46213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46213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46213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46213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46213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46213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46213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46213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46213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46213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46213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46213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46213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46213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46213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46213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46213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46213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46213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46213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46213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46213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46213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46213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46213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46213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46213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46213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46213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46213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46213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46213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46213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46213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46213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46213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46213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46213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46213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46213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46213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46213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46213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46213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46213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46213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46213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46213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46213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46213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46213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46213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46213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46213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46213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46213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46213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46213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46213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46213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46213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46213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46213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46213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46213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46213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46213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46213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46213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46213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46213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46213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46213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46213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46213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46213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46213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46213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46213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46213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46213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46213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46213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46213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46213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46213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46213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46213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46213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46213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46213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46213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46213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46213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46213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46213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46213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46213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46213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46213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46213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46213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46213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46213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46213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46213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46213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46213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46213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46213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46213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46213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46213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46213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46213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46213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46213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46213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46213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46213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46213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46213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46213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46213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46213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46213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46213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46213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46213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46213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46213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46213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46213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46213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46213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46213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46213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46213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46213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46213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46213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46213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46213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46213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46213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46213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46213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46213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46213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46213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46213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46213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46213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46213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46213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46213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46213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46213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46213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46213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46213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46213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46213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46213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46213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46213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46213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46213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46213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46213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46213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46213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46213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46213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46213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46213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46213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46213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46213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46213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46213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46213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46213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46213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46213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46213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46213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46213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46213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46213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46213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46213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46213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46213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46213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46213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46213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46213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46213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46213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46213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46213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46213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46213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46213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46213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46213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46213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46213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46213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46213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46213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46213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46213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46213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46213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46213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46213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46213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46213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46213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46213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46213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46213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46213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46213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46213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46213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46213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46213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46213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46213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46213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46213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46213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46213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46213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46213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46213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46213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46213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46213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46213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46213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46213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46213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46213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46213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46213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46213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46213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46213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46213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46213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46213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46213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46213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46213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46213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46213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46213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46213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46213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46213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46213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46213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46213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46213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46213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46213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46213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46213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46213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46213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46213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46213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46213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46213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46213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46213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46213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46213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46213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46213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46213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46213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46213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46213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46213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46213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46213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46213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46213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46213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46213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46213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46213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46213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46213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46213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46213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46213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46213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46213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46213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46213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46213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46213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46213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46213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46213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46213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46213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46213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46213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46213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46213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46213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46213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46213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46213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46213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46213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46213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46213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46213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46213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46213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46213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46213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46213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46213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46213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46213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46213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46213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46213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46213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46213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46213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46213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46213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46213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46213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46213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46213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46213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46213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46213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46213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46213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46213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46213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46213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46213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46213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46213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46213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46213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46213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46213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46213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46213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46213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46213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46213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46213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46213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46213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46213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46213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46213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46213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46213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46213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46213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46213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46213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46213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46213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46213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46213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46213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46213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46213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46213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46213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46213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46213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46213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46213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46213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46213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46213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46213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46213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46213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46213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46213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46213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46213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46213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46213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46213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46213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46213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46213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46213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46213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46213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46213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46213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46213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46213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46213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46213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46213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46213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46213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46213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46213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46213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46213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46213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46213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46213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46213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46213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46213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46213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46213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46213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46213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46213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46213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46213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46213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46213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46213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46213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46213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46213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46213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46213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46213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46213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46213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46213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46213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46213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46213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46213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46213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46213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46213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46213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46213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46213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46213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46213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46213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46213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46213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46213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46213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46213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46213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46213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46213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46213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46213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46213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46213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46213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46213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46213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46213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46213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46213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46213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46213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46213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46213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46213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46213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46213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46213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46213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46213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46213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46213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46213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46213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46213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46213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46213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46213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46213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46213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46213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46213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46213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46213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46213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46213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46213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46213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46213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46213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46213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46213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46213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46213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46213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46213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46213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46213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46213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46213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46213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46213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46213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46213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46213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46213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46213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46213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46213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46213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46213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46213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46213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46213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46213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46213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46213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46213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46213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46213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46213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46213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46213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46213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46213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46213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46213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46213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46213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46213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46213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46213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46213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46213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46213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46213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46213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46213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46213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46213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46213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46213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46213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46213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46213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46213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46213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46213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46213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46213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46213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46213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46213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46213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46213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46213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46213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46213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46213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46213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46213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46213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46213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46213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46213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46213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46213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46213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46213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46213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46213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46213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46213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46213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46213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46213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46213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46213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46213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46213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46213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46213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46213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46213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46213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46213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46213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46213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46213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46213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46213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46213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46213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46213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46213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46213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46213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46213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46213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46213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46213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46213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46213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46213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46213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46213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46213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46213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46213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46213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46213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46213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46213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46213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46213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46213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46213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46213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46213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46213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46213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46213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46213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46213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46213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46213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46213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46213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46213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46213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46213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46213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46213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46213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46213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46213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46213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46213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46213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46213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46213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46213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46213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46213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46213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46213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46213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46213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46213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46213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46213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46213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46213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46213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46213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46213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46213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46213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46213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46213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46213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46213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46213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46213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46213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46213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46213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46213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46213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46213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46213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46213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46213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46213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46213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46213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46213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46213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46213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46213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46213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46213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46213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46213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46213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46213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46213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46213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46213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46213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46213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46213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46213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46213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46213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46213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46213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46213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46213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46213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46213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46213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46213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46213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46213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46213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46213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46213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46213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46213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46213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46213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46213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46213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46213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46213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46213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46213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46213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46213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46213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46213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46213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46213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46213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46213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46213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46213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46213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46213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46213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46213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46213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46213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46213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46213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46213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46213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46213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46213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46213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46213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46213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46213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46213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46213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46213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46213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46213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46213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46213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46213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46213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46213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46213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46213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46213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46213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46213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46213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46213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46213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46213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46213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46213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46213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46213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46213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46213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46213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46213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46213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46213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46213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46213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46213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46213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46213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46213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46213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46213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46213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46213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46213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46213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46213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46213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46213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46213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46213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46213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46213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46213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46213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46213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46213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46213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46213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46213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46213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46213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46213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46213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46213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46213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46213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46213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46213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46213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46213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46213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46213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46213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46213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46213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46213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46213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46213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46213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46213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46213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46213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46213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46213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46213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46213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46213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46213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46213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46213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46213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46213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46213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46213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46213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46213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46213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46213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46213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46213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46213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46213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46213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46213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46213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46213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46213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46213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46213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46213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46213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46213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46213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46213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46213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46213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46213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46213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46213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46213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46213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46213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46213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46213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46213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46213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46213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46213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46213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46213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46213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46213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46213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46213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46213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46213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46213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46213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46213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46213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46213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46213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46213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46213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46213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46213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46213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46213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46213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46213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46213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46213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46213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46213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46213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46213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46213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46213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46213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46213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46213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46213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46213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46213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46213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46213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46213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46213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46213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46213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46213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46213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46213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46213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46213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46213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46213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46213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46213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46213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46213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46213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46213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46213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46213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46213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46213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46213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46213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46213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46213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46213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46213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46213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46213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46213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46213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46213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46213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46213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46213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46213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46213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46213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46213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46213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46213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46213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46213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46213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46213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46213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46213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46213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46213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46213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46213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46213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46213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46213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46213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46213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46213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46213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46213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46213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46213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46213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46213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46213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46213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46213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46213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46213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46213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46213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46213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46213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46213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46213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46213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46213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46213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46213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46213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46213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46213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46213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46213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46213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46213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46213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46213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46213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46213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46213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46213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46213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46213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46213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46213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46213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46213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46213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46213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46213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46213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46213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46213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46213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46213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46213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46213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46213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46213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46213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46213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46213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46213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46213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46213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46213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46213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46213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46213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46213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46213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46213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46213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46213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46213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46213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46213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46213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46213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46213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46213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46213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46213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46213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46213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46213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46213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46213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46213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46213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46213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46213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46213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46213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46213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46213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46213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46213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46213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46213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46213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46213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46213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46213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46213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46213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46213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46213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46213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46213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46213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46213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46213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46213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46213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46213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46213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46213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46213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46213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46213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46213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46213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46213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46213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46213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46213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46213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46213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46213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46213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46213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46213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46213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46213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46213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46213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46213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46213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46213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46213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46213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46213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46213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46213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46213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46213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46213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46213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46213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46213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46213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46213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46213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46213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46213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46213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46213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46213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46213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46213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46213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46213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46213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46213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46213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46213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46213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46213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46213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46213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46213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46213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46213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46213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46213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46213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46213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46213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46213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46213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46213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46213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46213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46213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46213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46213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46213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46213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46213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46213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46213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46213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46213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46213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46213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46213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46213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46213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46213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46213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46213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46213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46213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46213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46213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46213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46213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46213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46213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46213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46213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46213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46213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46213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46213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46213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46213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46213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46213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46213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46213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46213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46213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46213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46213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46213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46213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46213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46213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46213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46213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46213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46213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46213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46213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46213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46213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46213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46213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46213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46213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46213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46213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46213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46213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46213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46213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46213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46213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46213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46213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46213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46213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46213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46213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46213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46213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46213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46213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46213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46213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46213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46213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46213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46213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46213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46213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46213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46213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46213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46213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46213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46213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46213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46213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46213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46213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46213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46213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46213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46213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46213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46213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46213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46213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46213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46213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46213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46213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46213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46213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46213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46213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46213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46213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46213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46213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46213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46213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46213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46213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46213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46213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46213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46213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46213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46213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46213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46213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46213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46213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46213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46213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46213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46213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46213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46213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46213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46213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46213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46213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46213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46213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46213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46213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46213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46213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46213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46213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46213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46213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46213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46213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46213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46213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46213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46213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46213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46213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46213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46213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46213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46213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46213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46213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46213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46213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46213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46213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46213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46213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46213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46213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46213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46213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46213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46213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46213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46213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46213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46213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46213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46213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46213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46213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46213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46213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46213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46213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46213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46213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46213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46213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46213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46213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46213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46213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46213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46213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46213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46213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46213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46213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46213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46213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46213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46213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46213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46213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46213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46213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46213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46213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46213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46213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46213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46213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46213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46213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46213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46213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46213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46213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46213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46213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46213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46213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46213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46213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46213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46213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46213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46213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46213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46213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46213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46213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46213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46213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46213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46213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46213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46213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46213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46213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46213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46213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46213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46213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46213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46213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46213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46213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46213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46213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46213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46213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46213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46213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46213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46213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46213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46213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46213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46213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46213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46213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46213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46213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46213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46213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46213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46213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46213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46213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46213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46213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46213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46213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46213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46213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46213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46213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46213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46213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46213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46213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46213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46213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46213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46213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46213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46213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46213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46213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46213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46213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46213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46213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46213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46213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46213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46213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46213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46213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46213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46213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46213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46213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46213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46213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46213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46213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46213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46213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46213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46213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46213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46213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46213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46213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46213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46213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46213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46213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46213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46213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46213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46213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46213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46213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46213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46213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46213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46213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46213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46213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46213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46213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46213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46213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46213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46213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46213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46213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46213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46213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46213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46213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46213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46213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46213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46213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46213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46213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46213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46213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46213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46213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46213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46213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46213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46213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46213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46213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46213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46213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46213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46213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46213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46213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46213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46213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46213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46213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46213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46213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46213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46213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46213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46213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46213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46213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46213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46213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46213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46213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46213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46213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46213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46213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46213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46213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46213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46213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46213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46213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46213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46213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46213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46213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46213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46213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46213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46213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46213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46213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46213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46213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46213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46213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46213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46213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46213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46213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46213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46213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46213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46213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46213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46213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46213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46213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46213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46213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46213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46213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46213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46213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46213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46213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46213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46213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46213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46213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46213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46213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46213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46213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46213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46213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46213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46213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46213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46213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46213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46213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46213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46213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46213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46213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46213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46213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46213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46213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46213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46213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46213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46213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46213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46213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46213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46213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46213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46213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46213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46213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46213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46213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46213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46213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46213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46213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46213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46213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46213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46213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46213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46213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46213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46213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46213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46213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46213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46213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46213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46213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46213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46213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46213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46213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46213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46213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46213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46213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46213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46213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46213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46213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46213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46213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46213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46213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46213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46213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46213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46213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46213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46213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46213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46213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46213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46213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46213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46213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46213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46213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46213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46213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46213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46213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46213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46213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46213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46213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46213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46213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46213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46213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46213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46213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46213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46213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46213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46213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46213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46213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46213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46213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46213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46213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46213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46213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46213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46213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46213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46213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46213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46213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46213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46213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46213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46213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46213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46213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46213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46213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46213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46213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46213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46213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46213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46213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46213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46213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46213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46213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46213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46213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46213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46213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46213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46213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46213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46213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46213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46213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46213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46213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46213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46213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46213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46213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46213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46213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46213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46213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46213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46213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46213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46213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46213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46213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46213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46213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46213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46213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46213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46213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46213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46213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46213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46213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46213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46213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46213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46213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46213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46213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46213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46213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46213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46213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46213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46213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46213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46213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46213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46213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46213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46213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46213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46213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46213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46213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46213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46213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46213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46213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46213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46213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46213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46213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46213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46213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46213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46213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46213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46213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46213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46213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46213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46213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46213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46213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46213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46213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46213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46213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46213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46213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46213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46213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46213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46213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46213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46213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46213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46213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46213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46213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46213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46213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46213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46213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46213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46213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46213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46213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46213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46213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46213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46213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46213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46213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46213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46213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46213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46213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46213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46213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46213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46213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46213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46213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46213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46213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46213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46213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46213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46213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46213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46213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46213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46213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46213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46213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46213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46213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46213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46213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46213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46213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46213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46213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46213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46213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46213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46213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46213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46213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46213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46213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46213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46213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46213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46213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46213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46213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46213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46213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46213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46213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46213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46213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46213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46213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46213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46213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46213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46213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46213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46213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46213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46213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46213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46213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46213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46213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46213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46213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46213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46213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46213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46213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46213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46213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46213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46213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46213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46213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46213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46213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46213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46213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46213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46213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46213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46213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46213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46213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46213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46213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46213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46213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46213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46213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46213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46213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46213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46213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46213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46213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46213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46213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46213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46213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46213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46213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46213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46213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46213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46213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46213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46213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46213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46213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46213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46213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46213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46213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46213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46213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46213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46213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46213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46213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46213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46213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46213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46213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46213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46213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46213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46213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46213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46213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46213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46213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46213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46213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46213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46213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46213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46213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46213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46213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46213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46213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46213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46213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46213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46213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46213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46213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46213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46213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46213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46213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46213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46213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46213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46213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46213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46213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46213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46213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46213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46213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46213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46213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46213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46213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46213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46213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46213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46213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46213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46213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46213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46213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46213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46213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46213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46213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46213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46213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46213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46213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46213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46213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46213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46213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46213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46213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46213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46213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46213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46213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46213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46213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46213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46213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46213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46213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46213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46213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46213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46213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46213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46213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46213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46213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46213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46213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46213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46213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46213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46213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46213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46213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46213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46213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46213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46213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46213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46213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46213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46213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46213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46213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46213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46213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46213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46213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46213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46213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46213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46213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46213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46213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46213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46213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46213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46213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46213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46213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46213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46213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46213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46213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46213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46213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46213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46213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46213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46213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46213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46213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46213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46213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46213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46213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46213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46213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46213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46213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46213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46213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46213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46213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46213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46213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46213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46213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46213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46213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46213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46213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46213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46213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46213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46213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46213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46213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46213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46213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46213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46213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46213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46213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46213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46213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46213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46213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46213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46213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46213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46213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46213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46213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46213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46213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46213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46213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46213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46213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46213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46213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46213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46213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46213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46213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46213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46213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46213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46213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46213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46213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46213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46213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46213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46213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46213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46213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46213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46213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46213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46213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46213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46213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46213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46213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46213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46213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46213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46213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46213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46213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46213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46213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46213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46213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46213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46213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46213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46213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46213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46213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46213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46213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46213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46213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46213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46213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46213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46213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46213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46213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46213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46213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46213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46213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46213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46213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46213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46213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46213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46213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46213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46213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46213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46213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46213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46213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46213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46213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46213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46213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46213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46213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46213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46213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46213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46213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46213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46213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46213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46213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46213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46213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46213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46213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46213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46213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46213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46213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46213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46213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46213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46213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46213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46213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46213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46213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46213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46213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46213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46213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46213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46213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46213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46213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46213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46213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46213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46213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46213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46213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46213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46213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46213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46213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46213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46213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46213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46213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46213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46213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46213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46213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46213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46213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46213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46213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46213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46213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46213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46213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46213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46213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46213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46213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46213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46213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46213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46213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46213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46213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46213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46213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46213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46213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46213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46213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46213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46213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46213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46213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46213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46213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46213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46213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46213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46213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46213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46213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46213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46213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46213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46213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46213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46213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46213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46213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46213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46213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46213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46213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46213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46213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46213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46213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46213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46213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46213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46213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46213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46213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46213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46213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46213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46213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46213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46213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46213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46213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46213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46213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46213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46213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46213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46213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46213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46213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46213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46213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46213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46213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46213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46213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46213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46213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46213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46213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46213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46213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46213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46213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46213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46213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46213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46213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46213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46213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46213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46213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46213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46213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46213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46213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46213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46213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46213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46213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46213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46213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46213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46213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46213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46213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46213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46213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46213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46213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46213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46213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46213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46213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46213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46213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46213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46213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46213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46213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46213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46213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46213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46213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46213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46213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46213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46213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46213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46213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46213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46213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46213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46213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46213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46213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46213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46213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46213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46213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46213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46213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46213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46213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46213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46213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46213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46213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46213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46213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46213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46213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46213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46213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46213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46213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46213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46213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46213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46213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46213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46213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46213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46213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46213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46213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46213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46213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46213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46213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46213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46213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46213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46213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46213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46213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46213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46213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46213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46213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46213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46213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46213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46213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46213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46213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46213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46213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46213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46213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46213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46213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46213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46213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46213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46213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46213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46213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46213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46213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46213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46213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46213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46213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46213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46213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46213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46213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46213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46213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46213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46213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46213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46213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46213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46213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46213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46213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46213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46213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46213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46213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46213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46213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46213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46213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46213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46213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46213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46213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46213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46213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46213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46213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46213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46213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46213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46213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46213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46213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46213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46213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46213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46213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46213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46213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46213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46213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46213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46213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46213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46213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46213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46213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46213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46213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46213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46213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46213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46213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46213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46213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46213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46213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46213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46213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46213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46213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46213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46213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46213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46213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46213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46213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46213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46213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46213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46213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46213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46213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46213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46213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46213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46213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46213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46213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46213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46213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46213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46213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46213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46213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46213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46213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46213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46213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46213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46213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46213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46213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46213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46213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46213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46213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46213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46213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46213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46213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46213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46213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46213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46213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46213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46213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46213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46213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46213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46213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46213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46213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46213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46213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46213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46213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46213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46213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46213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46213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46213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46213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46213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46213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46213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46213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46213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46213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46213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46213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46213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46213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46213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46213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46213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46213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46213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46213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46213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46213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46213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46213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46213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46213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46213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46213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46213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46213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46213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46213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46213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46213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46213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46213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46213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46213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46213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46213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46213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46213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46213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46213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46213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46213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46213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46213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46213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46213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46213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46213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46213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46213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46213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46213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46213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46213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46213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46213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46213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46213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46213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46213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46213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46213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46213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46213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46213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46213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46213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46213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46213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46213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46213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46213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46213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46213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46213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46213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46213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46213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46213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46213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46213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46213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46213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46213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46213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46213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46213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46213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46213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46213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46213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46213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46213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46213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46213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46213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46213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46213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46213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46213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46213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46213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46213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46213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46213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46213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46213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46213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46213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46213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46213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46213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46213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46213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46213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46213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46213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46213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46213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46213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46213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46213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46213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46213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46213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46213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46213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46213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46213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46213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46213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46213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46213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46213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46213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46213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46213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46213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46213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46213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46213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46213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46213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46213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46213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46213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46213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46213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46213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46213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46213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46213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46213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46213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46213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46213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46213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46213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46213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46213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46213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46213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46213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46213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46213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46213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46213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46213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46213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46213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46213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46213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46213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46213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46213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46213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46213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46213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46213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46213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46213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46213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46213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46213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46213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46213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46213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46213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46213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46213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46213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46213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46213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46213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46213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46213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46213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46213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46213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46213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46213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46213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46213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46213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46213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46213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46213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46213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46213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46213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46213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46213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46213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46213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46213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46213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46213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46213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46213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46213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46213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46213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46213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46213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46213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46213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46213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46213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46213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46213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46213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46213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46213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46213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46213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46213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46213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46213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46213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46213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46213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46213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46213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46213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46213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46213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46213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46213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46213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46213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46213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46213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46213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46213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46213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46213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46213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46213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46213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46213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46213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46213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46213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46213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46213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46213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46213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46213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46213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46213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46213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46213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46213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46213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46213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46213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46213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46213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46213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46213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46213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46213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46213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46213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46213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46213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46213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46213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46213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46213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46213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46213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46213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46213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46213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46213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46213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46213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46213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46213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46213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46213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46213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46213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46213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46213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46213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46213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46213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46213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46213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46213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46213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46213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46213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46213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46213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46213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46213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46213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46213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46213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46213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46213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46213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46213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46213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46213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46213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46213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46213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46213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46213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46213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46213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46213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46213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46213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46213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46213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46213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46213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46213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46213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46213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46213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46213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46213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46213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46213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46213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46213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46213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46213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46213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46213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46213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46213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46213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46213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46213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46213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46213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46213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46213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46213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46213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46213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46213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46213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46213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46213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46213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46213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46213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46213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46213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46213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46213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46213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46213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46213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46213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46213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46213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46213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46213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46213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46213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46213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46213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46213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46213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46213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46213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46213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46213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46213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46213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46213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46213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46213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46213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46213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46213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46213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46213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46213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46213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46213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46213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46213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46213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46213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46213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46213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46213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46213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46213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46213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46213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46213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46213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46213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46213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46213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46213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46213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46213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46213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46213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46213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46213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46213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46213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46213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46213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46213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46213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46213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46213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46213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46213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46213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46213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46213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46213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46213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46213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46213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46213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46213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46213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46213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46213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46213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46213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46213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46213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46213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46213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46213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46213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46213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46213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46213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46213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46213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46213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46213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46213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46213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46213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46213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46213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46213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46213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46213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46213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46213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46213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46213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46213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46213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46213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46213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46213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46213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46213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46213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46213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46213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46213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46213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46213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46213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46213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46213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46213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46213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46213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46213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46213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46213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46213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46213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46213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46213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46213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46213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46213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46213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46213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46213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46213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46213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46213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46213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46213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46213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46213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46213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46213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46213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46213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46213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46213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46213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46213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46213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46213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46213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46213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46213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46213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46213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46213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46213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46213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46213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46213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46213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46213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46213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46213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46213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46213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46213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46213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46213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46213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46213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46213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46213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46213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46213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46213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46213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46213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46213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46213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46213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46213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46213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46213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46213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46213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46213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46213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46213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46213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46213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46213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46213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46213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46213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46213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46213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46213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46213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46213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46213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46213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46213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46213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46213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46213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46213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46213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46213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46213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46213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46213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46213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46213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46213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46213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46213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46213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46213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46213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46213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46213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46213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46213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46213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46213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46213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46213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46213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46213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46213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46213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46213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46213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46213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46213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46213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46213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46213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46213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46213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46213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46213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46213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46213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46213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46213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46213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46213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46213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46213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46213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46213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46213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46213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46213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46213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46213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46213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46213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46213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46213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46213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46213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46213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46213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46213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46213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46213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46213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46213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46213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46213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46213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46213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46213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46213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46213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46213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46213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46213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46213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46213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46213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46213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46213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46213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46213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46213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46213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46213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46213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46213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46213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46213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46213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46213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46213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46213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46213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46213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46213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46213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46213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46213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46213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46213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46213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46213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46213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46213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46213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46213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46213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46213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46213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46213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46213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46213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46213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46213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46213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46213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46213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46213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46213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46213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46213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46213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46213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46213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46213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46213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46213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46213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46213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46213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46213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46213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46213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46213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46213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46213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46213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46213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46213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46213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46213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46213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46213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46213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46213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46213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46213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46213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46213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46213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46213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46213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46213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46213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46213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46213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46213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46213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46213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46213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46213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46213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46213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46213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46213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46213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46213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46213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46213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46213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46213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46213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46213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46213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46213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46213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46213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46213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46213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46213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46213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46213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46213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46213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46213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46213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46213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46213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46213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46213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46213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46213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46213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46213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46213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46213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46213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46213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46213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46213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46213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46213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46213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46213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46213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46213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46213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46213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46213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46213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46213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46213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46213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46213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46213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46213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46213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46213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46213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46213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46213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46213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46213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46213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46213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46213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46213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46213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46213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46213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46213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46213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46213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46213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46213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46213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46213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46213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46213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46213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46212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46213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46213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46213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46213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46213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46213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46213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46213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46213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46213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46213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46213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46213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46213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46213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46213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46213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46213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46213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46213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46213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46213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46213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46213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46213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46213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46213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46213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46213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46213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46213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46213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46213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46213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46213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46213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46213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46213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46213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46213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46213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46213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46213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46213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46213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46213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46213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46213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46213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46213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46213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46213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46213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46213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46213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46213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46213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46213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46213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46213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46213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46213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46213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46213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46213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46213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46213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46213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46213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46213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46213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46213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46213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46213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46213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46213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46213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46213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46213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46213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46213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46213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46213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46213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46213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46213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46213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46213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46213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46213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46213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46213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46213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46213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46213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46213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46213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46213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46213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46213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46213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46213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46213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46213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46213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46213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46213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46213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46213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46213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46213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46213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46213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46213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46213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46213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46213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46213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46213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46213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46213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46213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46213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46213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46213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46213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46213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46213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46213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46213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46213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46213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46213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46213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46213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46213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46213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46213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46213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46213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46213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46213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46213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46213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46213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46213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46213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46213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46213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46213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46213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46213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46213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46213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46213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46213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46213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46213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46213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46213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46213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46213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46213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46213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46213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46213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46213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46213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46213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46213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46213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46213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46213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46213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46213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46213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46213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46213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46213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46213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46213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46213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46213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46213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46213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46213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46213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46213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46213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46213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46213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46213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46213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46213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46213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46213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46213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46213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46213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46213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46213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46213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46213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46213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46213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46213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46213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46213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46213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46213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46213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46213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46213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46213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46213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46213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46213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46213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46213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46213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46213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46213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46213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46213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46213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46213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46213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46213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46213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46213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46213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46213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46213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46213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46213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46213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46213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46213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46213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46213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46213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46213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46213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46213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46213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46213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46213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46213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46213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46213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46213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46213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46213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46213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46213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46213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46213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46213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46213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46213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46213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46213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46213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46213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46213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46213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46213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46213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46213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46213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46213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46213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46213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46213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46213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46213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46213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46213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46213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46213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46213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46213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46213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46213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46213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46213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46213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46213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46213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46213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46213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46213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46213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46213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46213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46213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46213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46213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46213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46213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46213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46213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46213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46213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46213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46213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46213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46213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46213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46213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46213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46213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46213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46213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46213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46213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46213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46213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46213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46213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46213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46213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46213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46213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46213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46213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46213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46213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46213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46213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46213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46213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46213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46213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46213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46213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46213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46213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46213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46213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46213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46213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46213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46213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46213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46213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46213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46213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46213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46213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46213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46213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46213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46213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46213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46213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46213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46213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46213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46213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46213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46213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46213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46213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46213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46213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46213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46213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46213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46213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46213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46213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46213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46213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46213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46213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46213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46213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46213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46213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46213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46213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46213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46213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46213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46213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46213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46213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46213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46213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46213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46213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46213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46213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46213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46213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46213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46213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46213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46213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46213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46213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46213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46213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46213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46213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46213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46213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46213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46213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46213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46213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46213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46213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46213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46213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46213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46213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46213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46213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46213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46213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46213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46213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46213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46213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46213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46213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46213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46213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46213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46213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46213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46213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46213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46213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46213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46213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46213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46213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46213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46213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46213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46213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46213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46213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46213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46213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46213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46213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46213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46213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46213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46213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46213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46213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46213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46213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46213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46213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46213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46213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46213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46213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46213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46213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46213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46213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46213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46213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46213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46213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46213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46213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46213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46213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46213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46213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46213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46213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46213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46213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46213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46213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46213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46213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46213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46213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46213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46213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46213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46213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46213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46213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46213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46213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46213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46213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46213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46213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46213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46213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46213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46213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46213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46213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46213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46213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46213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46213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46213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46213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46213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46213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46213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46213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46213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46213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46213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46213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46213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46213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46213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46213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46213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46213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46213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46213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46213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46213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46213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46213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46213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46213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46213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46213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46213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46213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46213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46213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46213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46213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46213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46213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46213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46213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46213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46213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46213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46213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46213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46213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46213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46213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46213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46213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46213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46213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46213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46213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46213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46213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46213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46213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46213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46213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46213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46213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46213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46213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46213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46213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46213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46213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46213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46213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46213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46213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46213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46213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46213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46213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46213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46213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46213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46213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46213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46213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46213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46213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46213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46213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46213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46213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46213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46213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46213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46213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46213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46213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46213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46213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46213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46213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46213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46213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46213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46213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46213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46213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46213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46213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46213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46213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46213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46213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46213</v>
      </c>
      <c r="G17020" s="2">
        <f>F17020-E17020+1</f>
        <v/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46213</v>
      </c>
      <c r="G17021" s="2">
        <f>F17021-E17021+1</f>
        <v/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46213</v>
      </c>
      <c r="G17022" s="2">
        <f>F17022-E17022+1</f>
        <v/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46213</v>
      </c>
      <c r="G17023" s="2">
        <f>F17023-E17023+1</f>
        <v/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46213</v>
      </c>
      <c r="G17024" s="2">
        <f>F17024-E17024+1</f>
        <v/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46213</v>
      </c>
      <c r="G17025" s="2">
        <f>F17025-E17025+1</f>
        <v/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46213</v>
      </c>
      <c r="G17026" s="2">
        <f>F17026-E17026+1</f>
        <v/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46213</v>
      </c>
      <c r="G17027" s="2">
        <f>F17027-E17027+1</f>
        <v/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46213</v>
      </c>
      <c r="G17028" s="2">
        <f>F17028-E17028+1</f>
        <v/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46213</v>
      </c>
      <c r="G17029" s="2">
        <f>F17029-E17029+1</f>
        <v/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46213</v>
      </c>
      <c r="G17030" s="2">
        <f>F17030-E17030+1</f>
        <v/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46213</v>
      </c>
      <c r="G17031" s="2">
        <f>F17031-E17031+1</f>
        <v/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46213</v>
      </c>
      <c r="G17032" s="2">
        <f>F17032-E17032+1</f>
        <v/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46213</v>
      </c>
      <c r="G17033" s="2">
        <f>F17033-E17033+1</f>
        <v/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46213</v>
      </c>
      <c r="G17034" s="2">
        <f>F17034-E17034+1</f>
        <v/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46213</v>
      </c>
      <c r="G17035" s="2">
        <f>F17035-E17035+1</f>
        <v/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46213</v>
      </c>
      <c r="G17036" s="2">
        <f>F17036-E17036+1</f>
        <v/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46213</v>
      </c>
      <c r="G17037" s="2">
        <f>F17037-E17037+1</f>
        <v/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46213</v>
      </c>
      <c r="G17038" s="2">
        <f>F17038-E17038+1</f>
        <v/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46213</v>
      </c>
      <c r="G17039" s="2">
        <f>F17039-E17039+1</f>
        <v/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46213</v>
      </c>
      <c r="G17040" s="2">
        <f>F17040-E17040+1</f>
        <v/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46213</v>
      </c>
      <c r="G17041" s="2">
        <f>F17041-E17041+1</f>
        <v/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46213</v>
      </c>
      <c r="G17042" s="2">
        <f>F17042-E17042+1</f>
        <v/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46213</v>
      </c>
      <c r="G17043" s="2">
        <f>F17043-E17043+1</f>
        <v/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46213</v>
      </c>
      <c r="G17044" s="2">
        <f>F17044-E17044+1</f>
        <v/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46213</v>
      </c>
      <c r="G17045" s="2">
        <f>F17045-E17045+1</f>
        <v/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46213</v>
      </c>
      <c r="G17046" s="2">
        <f>F17046-E17046+1</f>
        <v/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46213</v>
      </c>
      <c r="G17047" s="2">
        <f>F17047-E17047+1</f>
        <v/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46213</v>
      </c>
      <c r="G17048" s="2">
        <f>F17048-E17048+1</f>
        <v/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46213</v>
      </c>
      <c r="G17049" s="2">
        <f>F17049-E17049+1</f>
        <v/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46213</v>
      </c>
      <c r="G17050" s="2">
        <f>F17050-E17050+1</f>
        <v/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46213</v>
      </c>
      <c r="G17051" s="2">
        <f>F17051-E17051+1</f>
        <v/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46213</v>
      </c>
      <c r="G17052" s="2">
        <f>F17052-E17052+1</f>
        <v/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46213</v>
      </c>
      <c r="G17053" s="2">
        <f>F17053-E17053+1</f>
        <v/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46213</v>
      </c>
      <c r="G17054" s="2">
        <f>F17054-E17054+1</f>
        <v/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46213</v>
      </c>
      <c r="G17055" s="2">
        <f>F17055-E17055+1</f>
        <v/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46213</v>
      </c>
      <c r="G17056" s="2">
        <f>F17056-E17056+1</f>
        <v/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46213</v>
      </c>
      <c r="G17057" s="2">
        <f>F17057-E17057+1</f>
        <v/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46213</v>
      </c>
      <c r="G17058" s="2">
        <f>F17058-E17058+1</f>
        <v/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46213</v>
      </c>
      <c r="G17059" s="2">
        <f>F17059-E17059+1</f>
        <v/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46213</v>
      </c>
      <c r="G17060" s="2">
        <f>F17060-E17060+1</f>
        <v/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46213</v>
      </c>
      <c r="G17061" s="2">
        <f>F17061-E17061+1</f>
        <v/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46213</v>
      </c>
      <c r="G17062" s="2">
        <f>F17062-E17062+1</f>
        <v/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46213</v>
      </c>
      <c r="G17063" s="2">
        <f>F17063-E17063+1</f>
        <v/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46213</v>
      </c>
      <c r="G17064" s="2">
        <f>F17064-E17064+1</f>
        <v/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46213</v>
      </c>
      <c r="G17065" s="2">
        <f>F17065-E17065+1</f>
        <v/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46213</v>
      </c>
      <c r="G17066" s="2">
        <f>F17066-E17066+1</f>
        <v/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46213</v>
      </c>
      <c r="G17067" s="2">
        <f>F17067-E17067+1</f>
        <v/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46213</v>
      </c>
      <c r="G17068" s="2">
        <f>F17068-E17068+1</f>
        <v/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46213</v>
      </c>
      <c r="G17069" s="2">
        <f>F17069-E17069+1</f>
        <v/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46213</v>
      </c>
      <c r="G17070" s="2">
        <f>F17070-E17070+1</f>
        <v/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46213</v>
      </c>
      <c r="G17071" s="2">
        <f>F17071-E17071+1</f>
        <v/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46213</v>
      </c>
      <c r="G17072" s="2">
        <f>F17072-E17072+1</f>
        <v/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46213</v>
      </c>
      <c r="G17073" s="2">
        <f>F17073-E17073+1</f>
        <v/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46213</v>
      </c>
      <c r="G17074" s="2">
        <f>F17074-E17074+1</f>
        <v/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46213</v>
      </c>
      <c r="G17075" s="2">
        <f>F17075-E17075+1</f>
        <v/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46213</v>
      </c>
      <c r="G17076" s="2">
        <f>F17076-E17076+1</f>
        <v/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46213</v>
      </c>
      <c r="G17077" s="2">
        <f>F17077-E17077+1</f>
        <v/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46213</v>
      </c>
      <c r="G17078" s="2">
        <f>F17078-E17078+1</f>
        <v/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46213</v>
      </c>
      <c r="G17079" s="2">
        <f>F17079-E17079+1</f>
        <v/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46213</v>
      </c>
      <c r="G17080" s="2">
        <f>F17080-E17080+1</f>
        <v/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46213</v>
      </c>
      <c r="G17081" s="2">
        <f>F17081-E17081+1</f>
        <v/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46213</v>
      </c>
      <c r="G17082" s="2">
        <f>F17082-E17082+1</f>
        <v/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46213</v>
      </c>
      <c r="G17083" s="2">
        <f>F17083-E17083+1</f>
        <v/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46213</v>
      </c>
      <c r="G17084" s="2">
        <f>F17084-E17084+1</f>
        <v/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46213</v>
      </c>
      <c r="G17085" s="2">
        <f>F17085-E17085+1</f>
        <v/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46213</v>
      </c>
      <c r="G17086" s="2">
        <f>F17086-E17086+1</f>
        <v/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46213</v>
      </c>
      <c r="G17087" s="2">
        <f>F17087-E17087+1</f>
        <v/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46213</v>
      </c>
      <c r="G17088" s="2">
        <f>F17088-E17088+1</f>
        <v/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46213</v>
      </c>
      <c r="G17089" s="2">
        <f>F17089-E17089+1</f>
        <v/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46213</v>
      </c>
      <c r="G17090" s="2">
        <f>F17090-E17090+1</f>
        <v/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46213</v>
      </c>
      <c r="G17091" s="2">
        <f>F17091-E17091+1</f>
        <v/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46213</v>
      </c>
      <c r="G17092" s="2">
        <f>F17092-E17092+1</f>
        <v/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46213</v>
      </c>
      <c r="G17093" s="2">
        <f>F17093-E17093+1</f>
        <v/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46213</v>
      </c>
      <c r="G17094" s="2">
        <f>F17094-E17094+1</f>
        <v/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46213</v>
      </c>
      <c r="G17095" s="2">
        <f>F17095-E17095+1</f>
        <v/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46213</v>
      </c>
      <c r="G17096" s="2">
        <f>F17096-E17096+1</f>
        <v/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46213</v>
      </c>
      <c r="G17097" s="2">
        <f>F17097-E17097+1</f>
        <v/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46213</v>
      </c>
      <c r="G17098" s="2">
        <f>F17098-E17098+1</f>
        <v/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46213</v>
      </c>
      <c r="G17099" s="2">
        <f>F17099-E17099+1</f>
        <v/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46213</v>
      </c>
      <c r="G17100" s="2">
        <f>F17100-E17100+1</f>
        <v/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46213</v>
      </c>
      <c r="G17101" s="2">
        <f>F17101-E17101+1</f>
        <v/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46213</v>
      </c>
      <c r="G17102" s="2">
        <f>F17102-E17102+1</f>
        <v/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46213</v>
      </c>
      <c r="G17103" s="2">
        <f>F17103-E17103+1</f>
        <v/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46213</v>
      </c>
      <c r="G17104" s="2">
        <f>F17104-E17104+1</f>
        <v/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46213</v>
      </c>
      <c r="G17105" s="2">
        <f>F17105-E17105+1</f>
        <v/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46213</v>
      </c>
      <c r="G17106" s="2">
        <f>F17106-E17106+1</f>
        <v/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46213</v>
      </c>
      <c r="G17107" s="2">
        <f>F17107-E17107+1</f>
        <v/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46213</v>
      </c>
      <c r="G17108" s="2">
        <f>F17108-E17108+1</f>
        <v/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46213</v>
      </c>
      <c r="G17109" s="2">
        <f>F17109-E17109+1</f>
        <v/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46213</v>
      </c>
      <c r="G17110" s="2">
        <f>F17110-E17110+1</f>
        <v/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46213</v>
      </c>
      <c r="G17111" s="2">
        <f>F17111-E17111+1</f>
        <v/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46213</v>
      </c>
      <c r="G17112" s="2">
        <f>F17112-E17112+1</f>
        <v/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46213</v>
      </c>
      <c r="G17113" s="2">
        <f>F17113-E17113+1</f>
        <v/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46213</v>
      </c>
      <c r="G17114" s="2">
        <f>F17114-E17114+1</f>
        <v/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46213</v>
      </c>
      <c r="G17115" s="2">
        <f>F17115-E17115+1</f>
        <v/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46213</v>
      </c>
      <c r="G17116" s="2">
        <f>F17116-E17116+1</f>
        <v/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46213</v>
      </c>
      <c r="G17117" s="2">
        <f>F17117-E17117+1</f>
        <v/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46213</v>
      </c>
      <c r="G17118" s="2">
        <f>F17118-E17118+1</f>
        <v/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46213</v>
      </c>
      <c r="G17119" s="2">
        <f>F17119-E17119+1</f>
        <v/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46213</v>
      </c>
      <c r="G17120" s="2">
        <f>F17120-E17120+1</f>
        <v/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46213</v>
      </c>
      <c r="G17121" s="2">
        <f>F17121-E17121+1</f>
        <v/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46213</v>
      </c>
      <c r="G17122" s="2">
        <f>F17122-E17122+1</f>
        <v/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46213</v>
      </c>
      <c r="G17123" s="2">
        <f>F17123-E17123+1</f>
        <v/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46213</v>
      </c>
      <c r="G17124" s="2">
        <f>F17124-E17124+1</f>
        <v/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46213</v>
      </c>
      <c r="G17125" s="2">
        <f>F17125-E17125+1</f>
        <v/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46213</v>
      </c>
      <c r="G17126" s="2">
        <f>F17126-E17126+1</f>
        <v/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46213</v>
      </c>
      <c r="G17127" s="2">
        <f>F17127-E17127+1</f>
        <v/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46213</v>
      </c>
      <c r="G17128" s="2">
        <f>F17128-E17128+1</f>
        <v/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46213</v>
      </c>
      <c r="G17129" s="2">
        <f>F17129-E17129+1</f>
        <v/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46213</v>
      </c>
      <c r="G17130" s="2">
        <f>F17130-E17130+1</f>
        <v/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46213</v>
      </c>
      <c r="G17131" s="2">
        <f>F17131-E17131+1</f>
        <v/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46213</v>
      </c>
      <c r="G17132" s="2">
        <f>F17132-E17132+1</f>
        <v/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46213</v>
      </c>
      <c r="G17133" s="2">
        <f>F17133-E17133+1</f>
        <v/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46213</v>
      </c>
      <c r="G17134" s="2">
        <f>F17134-E17134+1</f>
        <v/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46213</v>
      </c>
      <c r="G17135" s="2">
        <f>F17135-E17135+1</f>
        <v/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46213</v>
      </c>
      <c r="G17136" s="2">
        <f>F17136-E17136+1</f>
        <v/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46213</v>
      </c>
      <c r="G17137" s="2">
        <f>F17137-E17137+1</f>
        <v/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46213</v>
      </c>
      <c r="G17138" s="2">
        <f>F17138-E17138+1</f>
        <v/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46213</v>
      </c>
      <c r="G17139" s="2">
        <f>F17139-E17139+1</f>
        <v/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46213</v>
      </c>
      <c r="G17140" s="2">
        <f>F17140-E17140+1</f>
        <v/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46213</v>
      </c>
      <c r="G17141" s="2">
        <f>F17141-E17141+1</f>
        <v/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46213</v>
      </c>
      <c r="G17142" s="2">
        <f>F17142-E17142+1</f>
        <v/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46213</v>
      </c>
      <c r="G17143" s="2">
        <f>F17143-E17143+1</f>
        <v/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46213</v>
      </c>
      <c r="G17144" s="2">
        <f>F17144-E17144+1</f>
        <v/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46213</v>
      </c>
      <c r="G17145" s="2">
        <f>F17145-E17145+1</f>
        <v/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46213</v>
      </c>
      <c r="G17146" s="2">
        <f>F17146-E17146+1</f>
        <v/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46213</v>
      </c>
      <c r="G17147" s="2">
        <f>F17147-E17147+1</f>
        <v/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46213</v>
      </c>
      <c r="G17148" s="2">
        <f>F17148-E17148+1</f>
        <v/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46213</v>
      </c>
      <c r="G17149" s="2">
        <f>F17149-E17149+1</f>
        <v/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46213</v>
      </c>
      <c r="G17150" s="2">
        <f>F17150-E17150+1</f>
        <v/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46213</v>
      </c>
      <c r="G17151" s="2">
        <f>F17151-E17151+1</f>
        <v/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46213</v>
      </c>
      <c r="G17152" s="2">
        <f>F17152-E17152+1</f>
        <v/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46213</v>
      </c>
      <c r="G17153" s="2">
        <f>F17153-E17153+1</f>
        <v/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46213</v>
      </c>
      <c r="G17154" s="2">
        <f>F17154-E17154+1</f>
        <v/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46213</v>
      </c>
      <c r="G17155" s="2">
        <f>F17155-E17155+1</f>
        <v/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46213</v>
      </c>
      <c r="G17156" s="2">
        <f>F17156-E17156+1</f>
        <v/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46213</v>
      </c>
      <c r="G17157" s="2">
        <f>F17157-E17157+1</f>
        <v/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46213</v>
      </c>
      <c r="G17158" s="2">
        <f>F17158-E17158+1</f>
        <v/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46213</v>
      </c>
      <c r="G17159" s="2">
        <f>F17159-E17159+1</f>
        <v/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46213</v>
      </c>
      <c r="G17160" s="2">
        <f>F17160-E17160+1</f>
        <v/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46213</v>
      </c>
      <c r="G17161" s="2">
        <f>F17161-E17161+1</f>
        <v/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46213</v>
      </c>
      <c r="G17162" s="2">
        <f>F17162-E17162+1</f>
        <v/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46213</v>
      </c>
      <c r="G17163" s="2">
        <f>F17163-E17163+1</f>
        <v/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46213</v>
      </c>
      <c r="G17164" s="2">
        <f>F17164-E17164+1</f>
        <v/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46213</v>
      </c>
      <c r="G17165" s="2">
        <f>F17165-E17165+1</f>
        <v/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46213</v>
      </c>
      <c r="G17166" s="2">
        <f>F17166-E17166+1</f>
        <v/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46213</v>
      </c>
      <c r="G17167" s="2">
        <f>F17167-E17167+1</f>
        <v/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46213</v>
      </c>
      <c r="G17168" s="2">
        <f>F17168-E17168+1</f>
        <v/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46213</v>
      </c>
      <c r="G17169" s="2">
        <f>F17169-E17169+1</f>
        <v/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46213</v>
      </c>
      <c r="G17170" s="2">
        <f>F17170-E17170+1</f>
        <v/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46213</v>
      </c>
      <c r="G17171" s="2">
        <f>F17171-E17171+1</f>
        <v/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46213</v>
      </c>
      <c r="G17172" s="2">
        <f>F17172-E17172+1</f>
        <v/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46213</v>
      </c>
      <c r="G17173" s="2">
        <f>F17173-E17173+1</f>
        <v/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46213</v>
      </c>
      <c r="G17174" s="2">
        <f>F17174-E17174+1</f>
        <v/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46213</v>
      </c>
      <c r="G17175" s="2">
        <f>F17175-E17175+1</f>
        <v/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46213</v>
      </c>
      <c r="G17176" s="2">
        <f>F17176-E17176+1</f>
        <v/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46213</v>
      </c>
      <c r="G17177" s="2">
        <f>F17177-E17177+1</f>
        <v/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46213</v>
      </c>
      <c r="G17178" s="2">
        <f>F17178-E17178+1</f>
        <v/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46213</v>
      </c>
      <c r="G17179" s="2">
        <f>F17179-E17179+1</f>
        <v/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46213</v>
      </c>
      <c r="G17180" s="2">
        <f>F17180-E17180+1</f>
        <v/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46213</v>
      </c>
      <c r="G17181" s="2">
        <f>F17181-E17181+1</f>
        <v/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46213</v>
      </c>
      <c r="G17182" s="2">
        <f>F17182-E17182+1</f>
        <v/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46213</v>
      </c>
      <c r="G17183" s="2">
        <f>F17183-E17183+1</f>
        <v/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46213</v>
      </c>
      <c r="G17184" s="2">
        <f>F17184-E17184+1</f>
        <v/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46213</v>
      </c>
      <c r="G17185" s="2">
        <f>F17185-E17185+1</f>
        <v/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46213</v>
      </c>
      <c r="G17186" s="2">
        <f>F17186-E17186+1</f>
        <v/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46213</v>
      </c>
      <c r="G17187" s="2">
        <f>F17187-E17187+1</f>
        <v/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46213</v>
      </c>
      <c r="G17188" s="2">
        <f>F17188-E17188+1</f>
        <v/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46213</v>
      </c>
      <c r="G17189" s="2">
        <f>F17189-E17189+1</f>
        <v/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46213</v>
      </c>
      <c r="G17190" s="2">
        <f>F17190-E17190+1</f>
        <v/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46213</v>
      </c>
      <c r="G17191" s="2">
        <f>F17191-E17191+1</f>
        <v/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46213</v>
      </c>
      <c r="G17192" s="2">
        <f>F17192-E17192+1</f>
        <v/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46213</v>
      </c>
      <c r="G17193" s="2">
        <f>F17193-E17193+1</f>
        <v/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46213</v>
      </c>
      <c r="G17194" s="2">
        <f>F17194-E17194+1</f>
        <v/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46213</v>
      </c>
      <c r="G17195" s="2">
        <f>F17195-E17195+1</f>
        <v/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46213</v>
      </c>
      <c r="G17196" s="2">
        <f>F17196-E17196+1</f>
        <v/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46213</v>
      </c>
      <c r="G17197" s="2">
        <f>F17197-E17197+1</f>
        <v/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46213</v>
      </c>
      <c r="G17198" s="2">
        <f>F17198-E17198+1</f>
        <v/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46213</v>
      </c>
      <c r="G17199" s="2">
        <f>F17199-E17199+1</f>
        <v/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46213</v>
      </c>
      <c r="G17200" s="2">
        <f>F17200-E17200+1</f>
        <v/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46213</v>
      </c>
      <c r="G17201" s="2">
        <f>F17201-E17201+1</f>
        <v/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46213</v>
      </c>
      <c r="G17202" s="2">
        <f>F17202-E17202+1</f>
        <v/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46213</v>
      </c>
      <c r="G17203" s="2">
        <f>F17203-E17203+1</f>
        <v/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46213</v>
      </c>
      <c r="G17204" s="2">
        <f>F17204-E17204+1</f>
        <v/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46213</v>
      </c>
      <c r="G17205" s="2">
        <f>F17205-E17205+1</f>
        <v/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46213</v>
      </c>
      <c r="G17206" s="2">
        <f>F17206-E17206+1</f>
        <v/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46213</v>
      </c>
      <c r="G17207" s="2">
        <f>F17207-E17207+1</f>
        <v/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46213</v>
      </c>
      <c r="G17208" s="2">
        <f>F17208-E17208+1</f>
        <v/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46213</v>
      </c>
      <c r="G17209" s="2">
        <f>F17209-E17209+1</f>
        <v/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46213</v>
      </c>
      <c r="G17210" s="2">
        <f>F17210-E17210+1</f>
        <v/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46213</v>
      </c>
      <c r="G17211" s="2">
        <f>F17211-E17211+1</f>
        <v/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46213</v>
      </c>
      <c r="G17212" s="2">
        <f>F17212-E17212+1</f>
        <v/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46213</v>
      </c>
      <c r="G17213" s="2">
        <f>F17213-E17213+1</f>
        <v/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46213</v>
      </c>
      <c r="G17214" s="2">
        <f>F17214-E17214+1</f>
        <v/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46213</v>
      </c>
      <c r="G17215" s="2">
        <f>F17215-E17215+1</f>
        <v/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46213</v>
      </c>
      <c r="G17216" s="2">
        <f>F17216-E17216+1</f>
        <v/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46213</v>
      </c>
      <c r="G17217" s="2">
        <f>F17217-E17217+1</f>
        <v/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46213</v>
      </c>
      <c r="G17218" s="2">
        <f>F17218-E17218+1</f>
        <v/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46213</v>
      </c>
      <c r="G17219" s="2">
        <f>F17219-E17219+1</f>
        <v/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46213</v>
      </c>
      <c r="G17220" s="2">
        <f>F17220-E17220+1</f>
        <v/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46213</v>
      </c>
      <c r="G17221" s="2">
        <f>F17221-E17221+1</f>
        <v/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46213</v>
      </c>
      <c r="G17222" s="2">
        <f>F17222-E17222+1</f>
        <v/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46213</v>
      </c>
      <c r="G17223" s="2">
        <f>F17223-E17223+1</f>
        <v/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46213</v>
      </c>
      <c r="G17224" s="2">
        <f>F17224-E17224+1</f>
        <v/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46213</v>
      </c>
      <c r="G17225" s="2">
        <f>F17225-E17225+1</f>
        <v/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46213</v>
      </c>
      <c r="G17226" s="2">
        <f>F17226-E17226+1</f>
        <v/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46213</v>
      </c>
      <c r="G17227" s="2">
        <f>F17227-E17227+1</f>
        <v/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46213</v>
      </c>
      <c r="G17228" s="2">
        <f>F17228-E17228+1</f>
        <v/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46213</v>
      </c>
      <c r="G17229" s="2">
        <f>F17229-E17229+1</f>
        <v/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46213</v>
      </c>
      <c r="G17230" s="2">
        <f>F17230-E17230+1</f>
        <v/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46213</v>
      </c>
      <c r="G17231" s="2">
        <f>F17231-E17231+1</f>
        <v/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46213</v>
      </c>
      <c r="G17232" s="2">
        <f>F17232-E17232+1</f>
        <v/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46213</v>
      </c>
      <c r="G17233" s="2">
        <f>F17233-E17233+1</f>
        <v/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46213</v>
      </c>
      <c r="G17234" s="2">
        <f>F17234-E17234+1</f>
        <v/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46213</v>
      </c>
      <c r="G17235" s="2">
        <f>F17235-E17235+1</f>
        <v/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46213</v>
      </c>
      <c r="G17236" s="2">
        <f>F17236-E17236+1</f>
        <v/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46213</v>
      </c>
      <c r="G17237" s="2">
        <f>F17237-E17237+1</f>
        <v/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46213</v>
      </c>
      <c r="G17238" s="2">
        <f>F17238-E17238+1</f>
        <v/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46213</v>
      </c>
      <c r="G17239" s="2">
        <f>F17239-E17239+1</f>
        <v/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46213</v>
      </c>
      <c r="G17240" s="2">
        <f>F17240-E17240+1</f>
        <v/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46213</v>
      </c>
      <c r="G17241" s="2">
        <f>F17241-E17241+1</f>
        <v/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46213</v>
      </c>
      <c r="G17242" s="2">
        <f>F17242-E17242+1</f>
        <v/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46213</v>
      </c>
      <c r="G17243" s="2">
        <f>F17243-E17243+1</f>
        <v/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46213</v>
      </c>
      <c r="G17244" s="2">
        <f>F17244-E17244+1</f>
        <v/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46213</v>
      </c>
      <c r="G17245" s="2">
        <f>F17245-E17245+1</f>
        <v/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46213</v>
      </c>
      <c r="G17246" s="2">
        <f>F17246-E17246+1</f>
        <v/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46213</v>
      </c>
      <c r="G17247" s="2">
        <f>F17247-E17247+1</f>
        <v/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46213</v>
      </c>
      <c r="G17248" s="2">
        <f>F17248-E17248+1</f>
        <v/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46213</v>
      </c>
      <c r="G17249" s="2">
        <f>F17249-E17249+1</f>
        <v/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46213</v>
      </c>
      <c r="G17250" s="2">
        <f>F17250-E17250+1</f>
        <v/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46213</v>
      </c>
      <c r="G17251" s="2">
        <f>F17251-E17251+1</f>
        <v/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46213</v>
      </c>
      <c r="G17252" s="2">
        <f>F17252-E17252+1</f>
        <v/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46213</v>
      </c>
      <c r="G17253" s="2">
        <f>F17253-E17253+1</f>
        <v/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46213</v>
      </c>
      <c r="G17254" s="2">
        <f>F17254-E17254+1</f>
        <v/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46213</v>
      </c>
      <c r="G17255" s="2">
        <f>F17255-E17255+1</f>
        <v/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46213</v>
      </c>
      <c r="G17256" s="2">
        <f>F17256-E17256+1</f>
        <v/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46213</v>
      </c>
      <c r="G17257" s="2">
        <f>F17257-E17257+1</f>
        <v/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46213</v>
      </c>
      <c r="G17258" s="2">
        <f>F17258-E17258+1</f>
        <v/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46213</v>
      </c>
      <c r="G17259" s="2">
        <f>F17259-E17259+1</f>
        <v/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46213</v>
      </c>
      <c r="G17260" s="2">
        <f>F17260-E17260+1</f>
        <v/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46213</v>
      </c>
      <c r="G17261" s="2">
        <f>F17261-E17261+1</f>
        <v/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46213</v>
      </c>
      <c r="G17262" s="2">
        <f>F17262-E17262+1</f>
        <v/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46213</v>
      </c>
      <c r="G17263" s="2">
        <f>F17263-E17263+1</f>
        <v/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46213</v>
      </c>
      <c r="G17264" s="2">
        <f>F17264-E17264+1</f>
        <v/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46213</v>
      </c>
      <c r="G17265" s="2">
        <f>F17265-E17265+1</f>
        <v/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46213</v>
      </c>
      <c r="G17266" s="2">
        <f>F17266-E17266+1</f>
        <v/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46213</v>
      </c>
      <c r="G17267" s="2">
        <f>F17267-E17267+1</f>
        <v/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46213</v>
      </c>
      <c r="G17268" s="2">
        <f>F17268-E17268+1</f>
        <v/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46213</v>
      </c>
      <c r="G17269" s="2">
        <f>F17269-E17269+1</f>
        <v/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46213</v>
      </c>
      <c r="G17270" s="2">
        <f>F17270-E17270+1</f>
        <v/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46213</v>
      </c>
      <c r="G17271" s="2">
        <f>F17271-E17271+1</f>
        <v/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46213</v>
      </c>
      <c r="G17272" s="2">
        <f>F17272-E17272+1</f>
        <v/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46213</v>
      </c>
      <c r="G17273" s="2">
        <f>F17273-E17273+1</f>
        <v/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46213</v>
      </c>
      <c r="G17274" s="2">
        <f>F17274-E17274+1</f>
        <v/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46213</v>
      </c>
      <c r="G17275" s="2">
        <f>F17275-E17275+1</f>
        <v/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46213</v>
      </c>
      <c r="G17276" s="2">
        <f>F17276-E17276+1</f>
        <v/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46213</v>
      </c>
      <c r="G17277" s="2">
        <f>F17277-E17277+1</f>
        <v/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46213</v>
      </c>
      <c r="G17278" s="2">
        <f>F17278-E17278+1</f>
        <v/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46213</v>
      </c>
      <c r="G17279" s="2">
        <f>F17279-E17279+1</f>
        <v/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46213</v>
      </c>
      <c r="G17280" s="2">
        <f>F17280-E17280+1</f>
        <v/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46213</v>
      </c>
      <c r="G17281" s="2">
        <f>F17281-E17281+1</f>
        <v/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46213</v>
      </c>
      <c r="G17282" s="2">
        <f>F17282-E17282+1</f>
        <v/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46213</v>
      </c>
      <c r="G17283" s="2">
        <f>F17283-E17283+1</f>
        <v/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46213</v>
      </c>
      <c r="G17284" s="2">
        <f>F17284-E17284+1</f>
        <v/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46213</v>
      </c>
      <c r="G17285" s="2">
        <f>F17285-E17285+1</f>
        <v/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46213</v>
      </c>
      <c r="G17286" s="2">
        <f>F17286-E17286+1</f>
        <v/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46213</v>
      </c>
      <c r="G17287" s="2">
        <f>F17287-E17287+1</f>
        <v/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46213</v>
      </c>
      <c r="G17288" s="2">
        <f>F17288-E17288+1</f>
        <v/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46213</v>
      </c>
      <c r="G17289" s="2">
        <f>F17289-E17289+1</f>
        <v/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46213</v>
      </c>
      <c r="G17290" s="2">
        <f>F17290-E17290+1</f>
        <v/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46213</v>
      </c>
      <c r="G17291" s="2">
        <f>F17291-E17291+1</f>
        <v/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46213</v>
      </c>
      <c r="G17292" s="2">
        <f>F17292-E17292+1</f>
        <v/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46213</v>
      </c>
      <c r="G17293" s="2">
        <f>F17293-E17293+1</f>
        <v/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46213</v>
      </c>
      <c r="G17294" s="2">
        <f>F17294-E17294+1</f>
        <v/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46213</v>
      </c>
      <c r="G17295" s="2">
        <f>F17295-E17295+1</f>
        <v/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46213</v>
      </c>
      <c r="G17296" s="2">
        <f>F17296-E17296+1</f>
        <v/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46213</v>
      </c>
      <c r="G17297" s="2">
        <f>F17297-E17297+1</f>
        <v/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46213</v>
      </c>
      <c r="G17298" s="2">
        <f>F17298-E17298+1</f>
        <v/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46213</v>
      </c>
      <c r="G17299" s="2">
        <f>F17299-E17299+1</f>
        <v/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46213</v>
      </c>
      <c r="G17300" s="2">
        <f>F17300-E17300+1</f>
        <v/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46213</v>
      </c>
      <c r="G17301" s="2">
        <f>F17301-E17301+1</f>
        <v/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46213</v>
      </c>
      <c r="G17302" s="2">
        <f>F17302-E17302+1</f>
        <v/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46213</v>
      </c>
      <c r="G17303" s="2">
        <f>F17303-E17303+1</f>
        <v/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46213</v>
      </c>
      <c r="G17304" s="2">
        <f>F17304-E17304+1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  <col width="36" customWidth="1" min="6" max="6"/>
    <col width="45" customWidth="1" min="7" max="7"/>
  </cols>
  <sheetData>
    <row r="1">
      <c r="A1" s="6" t="inlineStr">
        <is>
          <t>Beruf</t>
        </is>
      </c>
      <c r="B1" s="6" t="inlineStr">
        <is>
          <t>Stellen im Log</t>
        </is>
      </c>
      <c r="C1" s="6" t="inlineStr">
        <is>
          <t>Aktuell offen</t>
        </is>
      </c>
      <c r="D1" s="6" t="inlineStr">
        <is>
          <t>Beendet</t>
        </is>
      </c>
      <c r="E1" s="6" t="inlineStr">
        <is>
          <t>Ø Standzeit beendeter Stellen (Tage)</t>
        </is>
      </c>
      <c r="F1" s="6" t="inlineStr">
        <is>
          <t>Ø Beendete Stellen pro Woche</t>
        </is>
      </c>
      <c r="G1" s="6" t="inlineStr">
        <is>
          <t>Beendete pro Woche in % der offenen Stellen</t>
        </is>
      </c>
    </row>
    <row r="2">
      <c r="A2" s="2" t="inlineStr">
        <is>
          <t>Verkäufer/in</t>
        </is>
      </c>
      <c r="B2" s="2">
        <f>COUNTIF(Log!$C$2:$C$17304,A2)</f>
        <v/>
      </c>
      <c r="C2" s="2">
        <f>COUNTIFS(Log!$C$2:$C$17304,A2,Log!$F$2:$F$17304,Zusammenfassung!$B$2)</f>
        <v/>
      </c>
      <c r="D2" s="2">
        <f>COUNTIFS(Log!$C$2:$C$17304,A2,Log!$F$2:$F$17304,"&lt;"&amp;Zusammenfassung!$B$2)</f>
        <v/>
      </c>
      <c r="E2" s="2">
        <f>IFERROR(ROUND(AVERAGEIFS(Log!$G$2:$G$17304,Log!$C$2:$C$17304,A2,Log!$F$2:$F$17304,"&lt;"&amp;Zusammenfassung!$B$2),1),"")</f>
        <v/>
      </c>
      <c r="F2" s="5">
        <f>ROUND(D2/Zusammenfassung!$B$6,2)</f>
        <v/>
      </c>
      <c r="G2" s="8">
        <f>IF(C2=0,"",D2/(Zusammenfassung!$B$6*C2))</f>
        <v/>
      </c>
    </row>
    <row r="3">
      <c r="A3" s="2" t="inlineStr">
        <is>
          <t>Gabelstaplerfahrer/in</t>
        </is>
      </c>
      <c r="B3" s="2">
        <f>COUNTIF(Log!$C$2:$C$17304,A3)</f>
        <v/>
      </c>
      <c r="C3" s="2">
        <f>COUNTIFS(Log!$C$2:$C$17304,A3,Log!$F$2:$F$17304,Zusammenfassung!$B$2)</f>
        <v/>
      </c>
      <c r="D3" s="2">
        <f>COUNTIFS(Log!$C$2:$C$17304,A3,Log!$F$2:$F$17304,"&lt;"&amp;Zusammenfassung!$B$2)</f>
        <v/>
      </c>
      <c r="E3" s="2">
        <f>IFERROR(ROUND(AVERAGEIFS(Log!$G$2:$G$17304,Log!$C$2:$C$17304,A3,Log!$F$2:$F$17304,"&lt;"&amp;Zusammenfassung!$B$2),1),"")</f>
        <v/>
      </c>
      <c r="F3" s="5">
        <f>ROUND(D3/Zusammenfassung!$B$6,2)</f>
        <v/>
      </c>
      <c r="G3" s="8">
        <f>IF(C3=0,"",D3/(Zusammenfassung!$B$6*C3))</f>
        <v/>
      </c>
    </row>
    <row r="4">
      <c r="A4" s="2" t="inlineStr">
        <is>
          <t>Helfer/in - Lagerwirtschaft, Transport</t>
        </is>
      </c>
      <c r="B4" s="2">
        <f>COUNTIF(Log!$C$2:$C$17304,A4)</f>
        <v/>
      </c>
      <c r="C4" s="2">
        <f>COUNTIFS(Log!$C$2:$C$17304,A4,Log!$F$2:$F$17304,Zusammenfassung!$B$2)</f>
        <v/>
      </c>
      <c r="D4" s="2">
        <f>COUNTIFS(Log!$C$2:$C$17304,A4,Log!$F$2:$F$17304,"&lt;"&amp;Zusammenfassung!$B$2)</f>
        <v/>
      </c>
      <c r="E4" s="2">
        <f>IFERROR(ROUND(AVERAGEIFS(Log!$G$2:$G$17304,Log!$C$2:$C$17304,A4,Log!$F$2:$F$17304,"&lt;"&amp;Zusammenfassung!$B$2),1),"")</f>
        <v/>
      </c>
      <c r="F4" s="5">
        <f>ROUND(D4/Zusammenfassung!$B$6,2)</f>
        <v/>
      </c>
      <c r="G4" s="8">
        <f>IF(C4=0,"",D4/(Zusammenfassung!$B$6*C4))</f>
        <v/>
      </c>
    </row>
    <row r="5">
      <c r="A5" s="2" t="inlineStr">
        <is>
          <t>Industriemechaniker/in</t>
        </is>
      </c>
      <c r="B5" s="2">
        <f>COUNTIF(Log!$C$2:$C$17304,A5)</f>
        <v/>
      </c>
      <c r="C5" s="2">
        <f>COUNTIFS(Log!$C$2:$C$17304,A5,Log!$F$2:$F$17304,Zusammenfassung!$B$2)</f>
        <v/>
      </c>
      <c r="D5" s="2">
        <f>COUNTIFS(Log!$C$2:$C$17304,A5,Log!$F$2:$F$17304,"&lt;"&amp;Zusammenfassung!$B$2)</f>
        <v/>
      </c>
      <c r="E5" s="2">
        <f>IFERROR(ROUND(AVERAGEIFS(Log!$G$2:$G$17304,Log!$C$2:$C$17304,A5,Log!$F$2:$F$17304,"&lt;"&amp;Zusammenfassung!$B$2),1),"")</f>
        <v/>
      </c>
      <c r="F5" s="5">
        <f>ROUND(D5/Zusammenfassung!$B$6,2)</f>
        <v/>
      </c>
      <c r="G5" s="8">
        <f>IF(C5=0,"",D5/(Zusammenfassung!$B$6*C5))</f>
        <v/>
      </c>
    </row>
    <row r="6">
      <c r="A6" s="2" t="inlineStr">
        <is>
          <t>Helfer/in - Reinigung</t>
        </is>
      </c>
      <c r="B6" s="2">
        <f>COUNTIF(Log!$C$2:$C$17304,A6)</f>
        <v/>
      </c>
      <c r="C6" s="2">
        <f>COUNTIFS(Log!$C$2:$C$17304,A6,Log!$F$2:$F$17304,Zusammenfassung!$B$2)</f>
        <v/>
      </c>
      <c r="D6" s="2">
        <f>COUNTIFS(Log!$C$2:$C$17304,A6,Log!$F$2:$F$17304,"&lt;"&amp;Zusammenfassung!$B$2)</f>
        <v/>
      </c>
      <c r="E6" s="2">
        <f>IFERROR(ROUND(AVERAGEIFS(Log!$G$2:$G$17304,Log!$C$2:$C$17304,A6,Log!$F$2:$F$17304,"&lt;"&amp;Zusammenfassung!$B$2),1),"")</f>
        <v/>
      </c>
      <c r="F6" s="5">
        <f>ROUND(D6/Zusammenfassung!$B$6,2)</f>
        <v/>
      </c>
      <c r="G6" s="8">
        <f>IF(C6=0,"",D6/(Zusammenfassung!$B$6*C6))</f>
        <v/>
      </c>
    </row>
    <row r="7">
      <c r="A7" s="2" t="inlineStr">
        <is>
          <t>Fachkraft - Lagerlogistik</t>
        </is>
      </c>
      <c r="B7" s="2">
        <f>COUNTIF(Log!$C$2:$C$17304,A7)</f>
        <v/>
      </c>
      <c r="C7" s="2">
        <f>COUNTIFS(Log!$C$2:$C$17304,A7,Log!$F$2:$F$17304,Zusammenfassung!$B$2)</f>
        <v/>
      </c>
      <c r="D7" s="2">
        <f>COUNTIFS(Log!$C$2:$C$17304,A7,Log!$F$2:$F$17304,"&lt;"&amp;Zusammenfassung!$B$2)</f>
        <v/>
      </c>
      <c r="E7" s="2">
        <f>IFERROR(ROUND(AVERAGEIFS(Log!$G$2:$G$17304,Log!$C$2:$C$17304,A7,Log!$F$2:$F$17304,"&lt;"&amp;Zusammenfassung!$B$2),1),"")</f>
        <v/>
      </c>
      <c r="F7" s="5">
        <f>ROUND(D7/Zusammenfassung!$B$6,2)</f>
        <v/>
      </c>
      <c r="G7" s="8">
        <f>IF(C7=0,"",D7/(Zusammenfassung!$B$6*C7))</f>
        <v/>
      </c>
    </row>
    <row r="8">
      <c r="A8" s="2" t="inlineStr">
        <is>
          <t>Helfer/in - Verkauf</t>
        </is>
      </c>
      <c r="B8" s="2">
        <f>COUNTIF(Log!$C$2:$C$17304,A8)</f>
        <v/>
      </c>
      <c r="C8" s="2">
        <f>COUNTIFS(Log!$C$2:$C$17304,A8,Log!$F$2:$F$17304,Zusammenfassung!$B$2)</f>
        <v/>
      </c>
      <c r="D8" s="2">
        <f>COUNTIFS(Log!$C$2:$C$17304,A8,Log!$F$2:$F$17304,"&lt;"&amp;Zusammenfassung!$B$2)</f>
        <v/>
      </c>
      <c r="E8" s="2">
        <f>IFERROR(ROUND(AVERAGEIFS(Log!$G$2:$G$17304,Log!$C$2:$C$17304,A8,Log!$F$2:$F$17304,"&lt;"&amp;Zusammenfassung!$B$2),1),"")</f>
        <v/>
      </c>
      <c r="F8" s="5">
        <f>ROUND(D8/Zusammenfassung!$B$6,2)</f>
        <v/>
      </c>
      <c r="G8" s="8">
        <f>IF(C8=0,"",D8/(Zusammenfassung!$B$6*C8))</f>
        <v/>
      </c>
    </row>
    <row r="9">
      <c r="A9" s="2" t="inlineStr">
        <is>
          <t>Erzieher/in</t>
        </is>
      </c>
      <c r="B9" s="2">
        <f>COUNTIF(Log!$C$2:$C$17304,A9)</f>
        <v/>
      </c>
      <c r="C9" s="2">
        <f>COUNTIFS(Log!$C$2:$C$17304,A9,Log!$F$2:$F$17304,Zusammenfassung!$B$2)</f>
        <v/>
      </c>
      <c r="D9" s="2">
        <f>COUNTIFS(Log!$C$2:$C$17304,A9,Log!$F$2:$F$17304,"&lt;"&amp;Zusammenfassung!$B$2)</f>
        <v/>
      </c>
      <c r="E9" s="2">
        <f>IFERROR(ROUND(AVERAGEIFS(Log!$G$2:$G$17304,Log!$C$2:$C$17304,A9,Log!$F$2:$F$17304,"&lt;"&amp;Zusammenfassung!$B$2),1),"")</f>
        <v/>
      </c>
      <c r="F9" s="5">
        <f>ROUND(D9/Zusammenfassung!$B$6,2)</f>
        <v/>
      </c>
      <c r="G9" s="8">
        <f>IF(C9=0,"",D9/(Zusammenfassung!$B$6*C9))</f>
        <v/>
      </c>
    </row>
    <row r="10">
      <c r="A10" s="2" t="inlineStr">
        <is>
          <t>Berufskraftfahrer/in</t>
        </is>
      </c>
      <c r="B10" s="2">
        <f>COUNTIF(Log!$C$2:$C$17304,A10)</f>
        <v/>
      </c>
      <c r="C10" s="2">
        <f>COUNTIFS(Log!$C$2:$C$17304,A10,Log!$F$2:$F$17304,Zusammenfassung!$B$2)</f>
        <v/>
      </c>
      <c r="D10" s="2">
        <f>COUNTIFS(Log!$C$2:$C$17304,A10,Log!$F$2:$F$17304,"&lt;"&amp;Zusammenfassung!$B$2)</f>
        <v/>
      </c>
      <c r="E10" s="2">
        <f>IFERROR(ROUND(AVERAGEIFS(Log!$G$2:$G$17304,Log!$C$2:$C$17304,A10,Log!$F$2:$F$17304,"&lt;"&amp;Zusammenfassung!$B$2),1),"")</f>
        <v/>
      </c>
      <c r="F10" s="5">
        <f>ROUND(D10/Zusammenfassung!$B$6,2)</f>
        <v/>
      </c>
      <c r="G10" s="8">
        <f>IF(C10=0,"",D10/(Zusammenfassung!$B$6*C10))</f>
        <v/>
      </c>
    </row>
    <row r="11">
      <c r="A11" s="2" t="inlineStr">
        <is>
          <t>Maschinen- und Anlagenführer/in (ohne Angabe des Schwerpunkts)</t>
        </is>
      </c>
      <c r="B11" s="2">
        <f>COUNTIF(Log!$C$2:$C$17304,A11)</f>
        <v/>
      </c>
      <c r="C11" s="2">
        <f>COUNTIFS(Log!$C$2:$C$17304,A11,Log!$F$2:$F$17304,Zusammenfassung!$B$2)</f>
        <v/>
      </c>
      <c r="D11" s="2">
        <f>COUNTIFS(Log!$C$2:$C$17304,A11,Log!$F$2:$F$17304,"&lt;"&amp;Zusammenfassung!$B$2)</f>
        <v/>
      </c>
      <c r="E11" s="2">
        <f>IFERROR(ROUND(AVERAGEIFS(Log!$G$2:$G$17304,Log!$C$2:$C$17304,A11,Log!$F$2:$F$17304,"&lt;"&amp;Zusammenfassung!$B$2),1),"")</f>
        <v/>
      </c>
      <c r="F11" s="5">
        <f>ROUND(D11/Zusammenfassung!$B$6,2)</f>
        <v/>
      </c>
      <c r="G11" s="8">
        <f>IF(C11=0,"",D11/(Zusammenfassung!$B$6*C11))</f>
        <v/>
      </c>
    </row>
    <row r="12">
      <c r="A12" s="2" t="inlineStr">
        <is>
          <t>Helfer/in - Metallbearbeitung</t>
        </is>
      </c>
      <c r="B12" s="2">
        <f>COUNTIF(Log!$C$2:$C$17304,A12)</f>
        <v/>
      </c>
      <c r="C12" s="2">
        <f>COUNTIFS(Log!$C$2:$C$17304,A12,Log!$F$2:$F$17304,Zusammenfassung!$B$2)</f>
        <v/>
      </c>
      <c r="D12" s="2">
        <f>COUNTIFS(Log!$C$2:$C$17304,A12,Log!$F$2:$F$17304,"&lt;"&amp;Zusammenfassung!$B$2)</f>
        <v/>
      </c>
      <c r="E12" s="2">
        <f>IFERROR(ROUND(AVERAGEIFS(Log!$G$2:$G$17304,Log!$C$2:$C$17304,A12,Log!$F$2:$F$17304,"&lt;"&amp;Zusammenfassung!$B$2),1),"")</f>
        <v/>
      </c>
      <c r="F12" s="5">
        <f>ROUND(D12/Zusammenfassung!$B$6,2)</f>
        <v/>
      </c>
      <c r="G12" s="8">
        <f>IF(C12=0,"",D12/(Zusammenfassung!$B$6*C12))</f>
        <v/>
      </c>
    </row>
    <row r="13">
      <c r="A13" s="2" t="inlineStr">
        <is>
          <t>Lager- und Transportarbeiter/in</t>
        </is>
      </c>
      <c r="B13" s="2">
        <f>COUNTIF(Log!$C$2:$C$17304,A13)</f>
        <v/>
      </c>
      <c r="C13" s="2">
        <f>COUNTIFS(Log!$C$2:$C$17304,A13,Log!$F$2:$F$17304,Zusammenfassung!$B$2)</f>
        <v/>
      </c>
      <c r="D13" s="2">
        <f>COUNTIFS(Log!$C$2:$C$17304,A13,Log!$F$2:$F$17304,"&lt;"&amp;Zusammenfassung!$B$2)</f>
        <v/>
      </c>
      <c r="E13" s="2">
        <f>IFERROR(ROUND(AVERAGEIFS(Log!$G$2:$G$17304,Log!$C$2:$C$17304,A13,Log!$F$2:$F$17304,"&lt;"&amp;Zusammenfassung!$B$2),1),"")</f>
        <v/>
      </c>
      <c r="F13" s="5">
        <f>ROUND(D13/Zusammenfassung!$B$6,2)</f>
        <v/>
      </c>
      <c r="G13" s="8">
        <f>IF(C13=0,"",D13/(Zusammenfassung!$B$6*C13))</f>
        <v/>
      </c>
    </row>
    <row r="14">
      <c r="A14" s="2" t="inlineStr">
        <is>
          <t>Zerspanungsmechaniker/in</t>
        </is>
      </c>
      <c r="B14" s="2">
        <f>COUNTIF(Log!$C$2:$C$17304,A14)</f>
        <v/>
      </c>
      <c r="C14" s="2">
        <f>COUNTIFS(Log!$C$2:$C$17304,A14,Log!$F$2:$F$17304,Zusammenfassung!$B$2)</f>
        <v/>
      </c>
      <c r="D14" s="2">
        <f>COUNTIFS(Log!$C$2:$C$17304,A14,Log!$F$2:$F$17304,"&lt;"&amp;Zusammenfassung!$B$2)</f>
        <v/>
      </c>
      <c r="E14" s="2">
        <f>IFERROR(ROUND(AVERAGEIFS(Log!$G$2:$G$17304,Log!$C$2:$C$17304,A14,Log!$F$2:$F$17304,"&lt;"&amp;Zusammenfassung!$B$2),1),"")</f>
        <v/>
      </c>
      <c r="F14" s="5">
        <f>ROUND(D14/Zusammenfassung!$B$6,2)</f>
        <v/>
      </c>
      <c r="G14" s="8">
        <f>IF(C14=0,"",D14/(Zusammenfassung!$B$6*C14))</f>
        <v/>
      </c>
    </row>
    <row r="15">
      <c r="A15" s="2" t="inlineStr">
        <is>
          <t>Ingenieur/in - Elektrotechnik</t>
        </is>
      </c>
      <c r="B15" s="2">
        <f>COUNTIF(Log!$C$2:$C$17304,A15)</f>
        <v/>
      </c>
      <c r="C15" s="2">
        <f>COUNTIFS(Log!$C$2:$C$17304,A15,Log!$F$2:$F$17304,Zusammenfassung!$B$2)</f>
        <v/>
      </c>
      <c r="D15" s="2">
        <f>COUNTIFS(Log!$C$2:$C$17304,A15,Log!$F$2:$F$17304,"&lt;"&amp;Zusammenfassung!$B$2)</f>
        <v/>
      </c>
      <c r="E15" s="2">
        <f>IFERROR(ROUND(AVERAGEIFS(Log!$G$2:$G$17304,Log!$C$2:$C$17304,A15,Log!$F$2:$F$17304,"&lt;"&amp;Zusammenfassung!$B$2),1),"")</f>
        <v/>
      </c>
      <c r="F15" s="5">
        <f>ROUND(D15/Zusammenfassung!$B$6,2)</f>
        <v/>
      </c>
      <c r="G15" s="8">
        <f>IF(C15=0,"",D15/(Zusammenfassung!$B$6*C15))</f>
        <v/>
      </c>
    </row>
    <row r="16">
      <c r="A16" s="2" t="inlineStr">
        <is>
          <t>Altenpfleger/in</t>
        </is>
      </c>
      <c r="B16" s="2">
        <f>COUNTIF(Log!$C$2:$C$17304,A16)</f>
        <v/>
      </c>
      <c r="C16" s="2">
        <f>COUNTIFS(Log!$C$2:$C$17304,A16,Log!$F$2:$F$17304,Zusammenfassung!$B$2)</f>
        <v/>
      </c>
      <c r="D16" s="2">
        <f>COUNTIFS(Log!$C$2:$C$17304,A16,Log!$F$2:$F$17304,"&lt;"&amp;Zusammenfassung!$B$2)</f>
        <v/>
      </c>
      <c r="E16" s="2">
        <f>IFERROR(ROUND(AVERAGEIFS(Log!$G$2:$G$17304,Log!$C$2:$C$17304,A16,Log!$F$2:$F$17304,"&lt;"&amp;Zusammenfassung!$B$2),1),"")</f>
        <v/>
      </c>
      <c r="F16" s="5">
        <f>ROUND(D16/Zusammenfassung!$B$6,2)</f>
        <v/>
      </c>
      <c r="G16" s="8">
        <f>IF(C16=0,"",D16/(Zusammenfassung!$B$6*C16))</f>
        <v/>
      </c>
    </row>
    <row r="17">
      <c r="A17" s="2" t="inlineStr">
        <is>
          <t>Filialleiter/in, Verkaufsstellenleiter/in</t>
        </is>
      </c>
      <c r="B17" s="2">
        <f>COUNTIF(Log!$C$2:$C$17304,A17)</f>
        <v/>
      </c>
      <c r="C17" s="2">
        <f>COUNTIFS(Log!$C$2:$C$17304,A17,Log!$F$2:$F$17304,Zusammenfassung!$B$2)</f>
        <v/>
      </c>
      <c r="D17" s="2">
        <f>COUNTIFS(Log!$C$2:$C$17304,A17,Log!$F$2:$F$17304,"&lt;"&amp;Zusammenfassung!$B$2)</f>
        <v/>
      </c>
      <c r="E17" s="2">
        <f>IFERROR(ROUND(AVERAGEIFS(Log!$G$2:$G$17304,Log!$C$2:$C$17304,A17,Log!$F$2:$F$17304,"&lt;"&amp;Zusammenfassung!$B$2),1),"")</f>
        <v/>
      </c>
      <c r="F17" s="5">
        <f>ROUND(D17/Zusammenfassung!$B$6,2)</f>
        <v/>
      </c>
      <c r="G17" s="8">
        <f>IF(C17=0,"",D17/(Zusammenfassung!$B$6*C17))</f>
        <v/>
      </c>
    </row>
    <row r="18">
      <c r="A18" s="2" t="inlineStr">
        <is>
          <t>Mechatroniker/in</t>
        </is>
      </c>
      <c r="B18" s="2">
        <f>COUNTIF(Log!$C$2:$C$17304,A18)</f>
        <v/>
      </c>
      <c r="C18" s="2">
        <f>COUNTIFS(Log!$C$2:$C$17304,A18,Log!$F$2:$F$17304,Zusammenfassung!$B$2)</f>
        <v/>
      </c>
      <c r="D18" s="2">
        <f>COUNTIFS(Log!$C$2:$C$17304,A18,Log!$F$2:$F$17304,"&lt;"&amp;Zusammenfassung!$B$2)</f>
        <v/>
      </c>
      <c r="E18" s="2">
        <f>IFERROR(ROUND(AVERAGEIFS(Log!$G$2:$G$17304,Log!$C$2:$C$17304,A18,Log!$F$2:$F$17304,"&lt;"&amp;Zusammenfassung!$B$2),1),"")</f>
        <v/>
      </c>
      <c r="F18" s="5">
        <f>ROUND(D18/Zusammenfassung!$B$6,2)</f>
        <v/>
      </c>
      <c r="G18" s="8">
        <f>IF(C18=0,"",D18/(Zusammenfassung!$B$6*C18))</f>
        <v/>
      </c>
    </row>
    <row r="19">
      <c r="A19" s="2" t="inlineStr">
        <is>
          <t>Montierer/in</t>
        </is>
      </c>
      <c r="B19" s="2">
        <f>COUNTIF(Log!$C$2:$C$17304,A19)</f>
        <v/>
      </c>
      <c r="C19" s="2">
        <f>COUNTIFS(Log!$C$2:$C$17304,A19,Log!$F$2:$F$17304,Zusammenfassung!$B$2)</f>
        <v/>
      </c>
      <c r="D19" s="2">
        <f>COUNTIFS(Log!$C$2:$C$17304,A19,Log!$F$2:$F$17304,"&lt;"&amp;Zusammenfassung!$B$2)</f>
        <v/>
      </c>
      <c r="E19" s="2">
        <f>IFERROR(ROUND(AVERAGEIFS(Log!$G$2:$G$17304,Log!$C$2:$C$17304,A19,Log!$F$2:$F$17304,"&lt;"&amp;Zusammenfassung!$B$2),1),"")</f>
        <v/>
      </c>
      <c r="F19" s="5">
        <f>ROUND(D19/Zusammenfassung!$B$6,2)</f>
        <v/>
      </c>
      <c r="G19" s="8">
        <f>IF(C19=0,"",D19/(Zusammenfassung!$B$6*C19))</f>
        <v/>
      </c>
    </row>
    <row r="20">
      <c r="A20" s="2" t="inlineStr">
        <is>
          <t>Koch/Köchin</t>
        </is>
      </c>
      <c r="B20" s="2">
        <f>COUNTIF(Log!$C$2:$C$17304,A20)</f>
        <v/>
      </c>
      <c r="C20" s="2">
        <f>COUNTIFS(Log!$C$2:$C$17304,A20,Log!$F$2:$F$17304,Zusammenfassung!$B$2)</f>
        <v/>
      </c>
      <c r="D20" s="2">
        <f>COUNTIFS(Log!$C$2:$C$17304,A20,Log!$F$2:$F$17304,"&lt;"&amp;Zusammenfassung!$B$2)</f>
        <v/>
      </c>
      <c r="E20" s="2">
        <f>IFERROR(ROUND(AVERAGEIFS(Log!$G$2:$G$17304,Log!$C$2:$C$17304,A20,Log!$F$2:$F$17304,"&lt;"&amp;Zusammenfassung!$B$2),1),"")</f>
        <v/>
      </c>
      <c r="F20" s="5">
        <f>ROUND(D20/Zusammenfassung!$B$6,2)</f>
        <v/>
      </c>
      <c r="G20" s="8">
        <f>IF(C20=0,"",D20/(Zusammenfassung!$B$6*C20))</f>
        <v/>
      </c>
    </row>
    <row r="21">
      <c r="A21" s="2" t="inlineStr">
        <is>
          <t>Fachlagerist/in</t>
        </is>
      </c>
      <c r="B21" s="2">
        <f>COUNTIF(Log!$C$2:$C$17304,A21)</f>
        <v/>
      </c>
      <c r="C21" s="2">
        <f>COUNTIFS(Log!$C$2:$C$17304,A21,Log!$F$2:$F$17304,Zusammenfassung!$B$2)</f>
        <v/>
      </c>
      <c r="D21" s="2">
        <f>COUNTIFS(Log!$C$2:$C$17304,A21,Log!$F$2:$F$17304,"&lt;"&amp;Zusammenfassung!$B$2)</f>
        <v/>
      </c>
      <c r="E21" s="2">
        <f>IFERROR(ROUND(AVERAGEIFS(Log!$G$2:$G$17304,Log!$C$2:$C$17304,A21,Log!$F$2:$F$17304,"&lt;"&amp;Zusammenfassung!$B$2),1),"")</f>
        <v/>
      </c>
      <c r="F21" s="5">
        <f>ROUND(D21/Zusammenfassung!$B$6,2)</f>
        <v/>
      </c>
      <c r="G21" s="8">
        <f>IF(C21=0,"",D21/(Zusammenfassung!$B$6*C21))</f>
        <v/>
      </c>
    </row>
    <row r="22">
      <c r="A22" s="2" t="inlineStr">
        <is>
          <t>Bürokaufmann/-frau</t>
        </is>
      </c>
      <c r="B22" s="2">
        <f>COUNTIF(Log!$C$2:$C$17304,A22)</f>
        <v/>
      </c>
      <c r="C22" s="2">
        <f>COUNTIFS(Log!$C$2:$C$17304,A22,Log!$F$2:$F$17304,Zusammenfassung!$B$2)</f>
        <v/>
      </c>
      <c r="D22" s="2">
        <f>COUNTIFS(Log!$C$2:$C$17304,A22,Log!$F$2:$F$17304,"&lt;"&amp;Zusammenfassung!$B$2)</f>
        <v/>
      </c>
      <c r="E22" s="2">
        <f>IFERROR(ROUND(AVERAGEIFS(Log!$G$2:$G$17304,Log!$C$2:$C$17304,A22,Log!$F$2:$F$17304,"&lt;"&amp;Zusammenfassung!$B$2),1),"")</f>
        <v/>
      </c>
      <c r="F22" s="5">
        <f>ROUND(D22/Zusammenfassung!$B$6,2)</f>
        <v/>
      </c>
      <c r="G22" s="8">
        <f>IF(C22=0,"",D22/(Zusammenfassung!$B$6*C22))</f>
        <v/>
      </c>
    </row>
    <row r="23">
      <c r="A23" s="2" t="inlineStr">
        <is>
          <t>Elektroniker/in - Betriebstechnik</t>
        </is>
      </c>
      <c r="B23" s="2">
        <f>COUNTIF(Log!$C$2:$C$17304,A23)</f>
        <v/>
      </c>
      <c r="C23" s="2">
        <f>COUNTIFS(Log!$C$2:$C$17304,A23,Log!$F$2:$F$17304,Zusammenfassung!$B$2)</f>
        <v/>
      </c>
      <c r="D23" s="2">
        <f>COUNTIFS(Log!$C$2:$C$17304,A23,Log!$F$2:$F$17304,"&lt;"&amp;Zusammenfassung!$B$2)</f>
        <v/>
      </c>
      <c r="E23" s="2">
        <f>IFERROR(ROUND(AVERAGEIFS(Log!$G$2:$G$17304,Log!$C$2:$C$17304,A23,Log!$F$2:$F$17304,"&lt;"&amp;Zusammenfassung!$B$2),1),"")</f>
        <v/>
      </c>
      <c r="F23" s="5">
        <f>ROUND(D23/Zusammenfassung!$B$6,2)</f>
        <v/>
      </c>
      <c r="G23" s="8">
        <f>IF(C23=0,"",D23/(Zusammenfassung!$B$6*C23))</f>
        <v/>
      </c>
    </row>
    <row r="24">
      <c r="A24" s="2" t="inlineStr">
        <is>
          <t>Anlagenmechaniker/in - Sanitär-, Heizungs- und Klimatechnik</t>
        </is>
      </c>
      <c r="B24" s="2">
        <f>COUNTIF(Log!$C$2:$C$17304,A24)</f>
        <v/>
      </c>
      <c r="C24" s="2">
        <f>COUNTIFS(Log!$C$2:$C$17304,A24,Log!$F$2:$F$17304,Zusammenfassung!$B$2)</f>
        <v/>
      </c>
      <c r="D24" s="2">
        <f>COUNTIFS(Log!$C$2:$C$17304,A24,Log!$F$2:$F$17304,"&lt;"&amp;Zusammenfassung!$B$2)</f>
        <v/>
      </c>
      <c r="E24" s="2">
        <f>IFERROR(ROUND(AVERAGEIFS(Log!$G$2:$G$17304,Log!$C$2:$C$17304,A24,Log!$F$2:$F$17304,"&lt;"&amp;Zusammenfassung!$B$2),1),"")</f>
        <v/>
      </c>
      <c r="F24" s="5">
        <f>ROUND(D24/Zusammenfassung!$B$6,2)</f>
        <v/>
      </c>
      <c r="G24" s="8">
        <f>IF(C24=0,"",D24/(Zusammenfassung!$B$6*C24))</f>
        <v/>
      </c>
    </row>
    <row r="25">
      <c r="A25" s="2" t="inlineStr">
        <is>
          <t>Gesundheits- und Krankenpfleger/in</t>
        </is>
      </c>
      <c r="B25" s="2">
        <f>COUNTIF(Log!$C$2:$C$17304,A25)</f>
        <v/>
      </c>
      <c r="C25" s="2">
        <f>COUNTIFS(Log!$C$2:$C$17304,A25,Log!$F$2:$F$17304,Zusammenfassung!$B$2)</f>
        <v/>
      </c>
      <c r="D25" s="2">
        <f>COUNTIFS(Log!$C$2:$C$17304,A25,Log!$F$2:$F$17304,"&lt;"&amp;Zusammenfassung!$B$2)</f>
        <v/>
      </c>
      <c r="E25" s="2">
        <f>IFERROR(ROUND(AVERAGEIFS(Log!$G$2:$G$17304,Log!$C$2:$C$17304,A25,Log!$F$2:$F$17304,"&lt;"&amp;Zusammenfassung!$B$2),1),"")</f>
        <v/>
      </c>
      <c r="F25" s="5">
        <f>ROUND(D25/Zusammenfassung!$B$6,2)</f>
        <v/>
      </c>
      <c r="G25" s="8">
        <f>IF(C25=0,"",D25/(Zusammenfassung!$B$6*C25))</f>
        <v/>
      </c>
    </row>
    <row r="26">
      <c r="A26" s="2" t="inlineStr">
        <is>
          <t>Elektroanlagenmonteur/in</t>
        </is>
      </c>
      <c r="B26" s="2">
        <f>COUNTIF(Log!$C$2:$C$17304,A26)</f>
        <v/>
      </c>
      <c r="C26" s="2">
        <f>COUNTIFS(Log!$C$2:$C$17304,A26,Log!$F$2:$F$17304,Zusammenfassung!$B$2)</f>
        <v/>
      </c>
      <c r="D26" s="2">
        <f>COUNTIFS(Log!$C$2:$C$17304,A26,Log!$F$2:$F$17304,"&lt;"&amp;Zusammenfassung!$B$2)</f>
        <v/>
      </c>
      <c r="E26" s="2">
        <f>IFERROR(ROUND(AVERAGEIFS(Log!$G$2:$G$17304,Log!$C$2:$C$17304,A26,Log!$F$2:$F$17304,"&lt;"&amp;Zusammenfassung!$B$2),1),"")</f>
        <v/>
      </c>
      <c r="F26" s="5">
        <f>ROUND(D26/Zusammenfassung!$B$6,2)</f>
        <v/>
      </c>
      <c r="G26" s="8">
        <f>IF(C26=0,"",D26/(Zusammenfassung!$B$6*C26))</f>
        <v/>
      </c>
    </row>
    <row r="27">
      <c r="A27" s="2" t="inlineStr">
        <is>
          <t>Medizinische/r Fachangestellte/r</t>
        </is>
      </c>
      <c r="B27" s="2">
        <f>COUNTIF(Log!$C$2:$C$17304,A27)</f>
        <v/>
      </c>
      <c r="C27" s="2">
        <f>COUNTIFS(Log!$C$2:$C$17304,A27,Log!$F$2:$F$17304,Zusammenfassung!$B$2)</f>
        <v/>
      </c>
      <c r="D27" s="2">
        <f>COUNTIFS(Log!$C$2:$C$17304,A27,Log!$F$2:$F$17304,"&lt;"&amp;Zusammenfassung!$B$2)</f>
        <v/>
      </c>
      <c r="E27" s="2">
        <f>IFERROR(ROUND(AVERAGEIFS(Log!$G$2:$G$17304,Log!$C$2:$C$17304,A27,Log!$F$2:$F$17304,"&lt;"&amp;Zusammenfassung!$B$2),1),"")</f>
        <v/>
      </c>
      <c r="F27" s="5">
        <f>ROUND(D27/Zusammenfassung!$B$6,2)</f>
        <v/>
      </c>
      <c r="G27" s="8">
        <f>IF(C27=0,"",D27/(Zusammenfassung!$B$6*C27))</f>
        <v/>
      </c>
    </row>
    <row r="28">
      <c r="A28" s="2" t="inlineStr">
        <is>
          <t>Elektroniker/in - Energie- und Gebäudetechnik</t>
        </is>
      </c>
      <c r="B28" s="2">
        <f>COUNTIF(Log!$C$2:$C$17304,A28)</f>
        <v/>
      </c>
      <c r="C28" s="2">
        <f>COUNTIFS(Log!$C$2:$C$17304,A28,Log!$F$2:$F$17304,Zusammenfassung!$B$2)</f>
        <v/>
      </c>
      <c r="D28" s="2">
        <f>COUNTIFS(Log!$C$2:$C$17304,A28,Log!$F$2:$F$17304,"&lt;"&amp;Zusammenfassung!$B$2)</f>
        <v/>
      </c>
      <c r="E28" s="2">
        <f>IFERROR(ROUND(AVERAGEIFS(Log!$G$2:$G$17304,Log!$C$2:$C$17304,A28,Log!$F$2:$F$17304,"&lt;"&amp;Zusammenfassung!$B$2),1),"")</f>
        <v/>
      </c>
      <c r="F28" s="5">
        <f>ROUND(D28/Zusammenfassung!$B$6,2)</f>
        <v/>
      </c>
      <c r="G28" s="8">
        <f>IF(C28=0,"",D28/(Zusammenfassung!$B$6*C28))</f>
        <v/>
      </c>
    </row>
    <row r="29">
      <c r="A29" s="2" t="inlineStr">
        <is>
          <t>Sozialarbeiter/in / Sozialpädagoge/-pädagogin</t>
        </is>
      </c>
      <c r="B29" s="2">
        <f>COUNTIF(Log!$C$2:$C$17304,A29)</f>
        <v/>
      </c>
      <c r="C29" s="2">
        <f>COUNTIFS(Log!$C$2:$C$17304,A29,Log!$F$2:$F$17304,Zusammenfassung!$B$2)</f>
        <v/>
      </c>
      <c r="D29" s="2">
        <f>COUNTIFS(Log!$C$2:$C$17304,A29,Log!$F$2:$F$17304,"&lt;"&amp;Zusammenfassung!$B$2)</f>
        <v/>
      </c>
      <c r="E29" s="2">
        <f>IFERROR(ROUND(AVERAGEIFS(Log!$G$2:$G$17304,Log!$C$2:$C$17304,A29,Log!$F$2:$F$17304,"&lt;"&amp;Zusammenfassung!$B$2),1),"")</f>
        <v/>
      </c>
      <c r="F29" s="5">
        <f>ROUND(D29/Zusammenfassung!$B$6,2)</f>
        <v/>
      </c>
      <c r="G29" s="8">
        <f>IF(C29=0,"",D29/(Zusammenfassung!$B$6*C29))</f>
        <v/>
      </c>
    </row>
    <row r="30">
      <c r="A30" s="2" t="inlineStr">
        <is>
          <t>Kommissionierer/in</t>
        </is>
      </c>
      <c r="B30" s="2">
        <f>COUNTIF(Log!$C$2:$C$17304,A30)</f>
        <v/>
      </c>
      <c r="C30" s="2">
        <f>COUNTIFS(Log!$C$2:$C$17304,A30,Log!$F$2:$F$17304,Zusammenfassung!$B$2)</f>
        <v/>
      </c>
      <c r="D30" s="2">
        <f>COUNTIFS(Log!$C$2:$C$17304,A30,Log!$F$2:$F$17304,"&lt;"&amp;Zusammenfassung!$B$2)</f>
        <v/>
      </c>
      <c r="E30" s="2">
        <f>IFERROR(ROUND(AVERAGEIFS(Log!$G$2:$G$17304,Log!$C$2:$C$17304,A30,Log!$F$2:$F$17304,"&lt;"&amp;Zusammenfassung!$B$2),1),"")</f>
        <v/>
      </c>
      <c r="F30" s="5">
        <f>ROUND(D30/Zusammenfassung!$B$6,2)</f>
        <v/>
      </c>
      <c r="G30" s="8">
        <f>IF(C30=0,"",D30/(Zusammenfassung!$B$6*C30))</f>
        <v/>
      </c>
    </row>
    <row r="31">
      <c r="A31" s="2" t="inlineStr">
        <is>
          <t>Helfer/in - Elektro</t>
        </is>
      </c>
      <c r="B31" s="2">
        <f>COUNTIF(Log!$C$2:$C$17304,A31)</f>
        <v/>
      </c>
      <c r="C31" s="2">
        <f>COUNTIFS(Log!$C$2:$C$17304,A31,Log!$F$2:$F$17304,Zusammenfassung!$B$2)</f>
        <v/>
      </c>
      <c r="D31" s="2">
        <f>COUNTIFS(Log!$C$2:$C$17304,A31,Log!$F$2:$F$17304,"&lt;"&amp;Zusammenfassung!$B$2)</f>
        <v/>
      </c>
      <c r="E31" s="2">
        <f>IFERROR(ROUND(AVERAGEIFS(Log!$G$2:$G$17304,Log!$C$2:$C$17304,A31,Log!$F$2:$F$17304,"&lt;"&amp;Zusammenfassung!$B$2),1),"")</f>
        <v/>
      </c>
      <c r="F31" s="5">
        <f>ROUND(D31/Zusammenfassung!$B$6,2)</f>
        <v/>
      </c>
      <c r="G31" s="8">
        <f>IF(C31=0,"",D31/(Zusammenfassung!$B$6*C31))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6" t="inlineStr">
        <is>
          <t>Arbeitgeber</t>
        </is>
      </c>
      <c r="B1" s="6" t="inlineStr">
        <is>
          <t>Offene Stellen (aktuell)</t>
        </is>
      </c>
      <c r="C1" s="6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COUNTIFS(Log!$D$2:$D$17304,A2,Log!$F$2:$F$17304,Zusammenfassung!$B$2)</f>
        <v/>
      </c>
      <c r="C2" s="2">
        <f>COUNTIF(Log!$D$2:$D$17304,A2)</f>
        <v/>
      </c>
    </row>
    <row r="3">
      <c r="A3" s="2" t="inlineStr">
        <is>
          <t>DEKRA Arbeit GmbH</t>
        </is>
      </c>
      <c r="B3" s="2">
        <f>COUNTIFS(Log!$D$2:$D$17304,A3,Log!$F$2:$F$17304,Zusammenfassung!$B$2)</f>
        <v/>
      </c>
      <c r="C3" s="2">
        <f>COUNTIF(Log!$D$2:$D$17304,A3)</f>
        <v/>
      </c>
    </row>
    <row r="4">
      <c r="A4" s="2" t="inlineStr">
        <is>
          <t>Lidl Dienstleistung GmbH &amp; Co. KG</t>
        </is>
      </c>
      <c r="B4" s="2">
        <f>COUNTIFS(Log!$D$2:$D$17304,A4,Log!$F$2:$F$17304,Zusammenfassung!$B$2)</f>
        <v/>
      </c>
      <c r="C4" s="2">
        <f>COUNTIF(Log!$D$2:$D$17304,A4)</f>
        <v/>
      </c>
    </row>
    <row r="5">
      <c r="A5" s="2" t="inlineStr">
        <is>
          <t>Netto Marken-Discount Stiftung &amp; Co. KG</t>
        </is>
      </c>
      <c r="B5" s="2">
        <f>COUNTIFS(Log!$D$2:$D$17304,A5,Log!$F$2:$F$17304,Zusammenfassung!$B$2)</f>
        <v/>
      </c>
      <c r="C5" s="2">
        <f>COUNTIF(Log!$D$2:$D$17304,A5)</f>
        <v/>
      </c>
    </row>
    <row r="6">
      <c r="A6" s="2" t="inlineStr">
        <is>
          <t>SOCCO GROUP GmbH NL Schorndorf</t>
        </is>
      </c>
      <c r="B6" s="2">
        <f>COUNTIFS(Log!$D$2:$D$17304,A6,Log!$F$2:$F$17304,Zusammenfassung!$B$2)</f>
        <v/>
      </c>
      <c r="C6" s="2">
        <f>COUNTIF(Log!$D$2:$D$17304,A6)</f>
        <v/>
      </c>
    </row>
    <row r="7">
      <c r="A7" s="2" t="inlineStr">
        <is>
          <t>SOCCO Leonberg GmbH</t>
        </is>
      </c>
      <c r="B7" s="2">
        <f>COUNTIFS(Log!$D$2:$D$17304,A7,Log!$F$2:$F$17304,Zusammenfassung!$B$2)</f>
        <v/>
      </c>
      <c r="C7" s="2">
        <f>COUNTIF(Log!$D$2:$D$17304,A7)</f>
        <v/>
      </c>
    </row>
    <row r="8">
      <c r="A8" s="2" t="inlineStr">
        <is>
          <t>temPERSO Rummel &amp; Glass GmbH</t>
        </is>
      </c>
      <c r="B8" s="2">
        <f>COUNTIFS(Log!$D$2:$D$17304,A8,Log!$F$2:$F$17304,Zusammenfassung!$B$2)</f>
        <v/>
      </c>
      <c r="C8" s="2">
        <f>COUNTIF(Log!$D$2:$D$17304,A8)</f>
        <v/>
      </c>
    </row>
    <row r="9">
      <c r="A9" s="2" t="inlineStr">
        <is>
          <t>JobImpulse Süd GmbH Esslingen</t>
        </is>
      </c>
      <c r="B9" s="2">
        <f>COUNTIFS(Log!$D$2:$D$17304,A9,Log!$F$2:$F$17304,Zusammenfassung!$B$2)</f>
        <v/>
      </c>
      <c r="C9" s="2">
        <f>COUNTIF(Log!$D$2:$D$17304,A9)</f>
        <v/>
      </c>
    </row>
    <row r="10">
      <c r="A10" s="2" t="inlineStr">
        <is>
          <t>Pflegewerk GmbH</t>
        </is>
      </c>
      <c r="B10" s="2">
        <f>COUNTIFS(Log!$D$2:$D$17304,A10,Log!$F$2:$F$17304,Zusammenfassung!$B$2)</f>
        <v/>
      </c>
      <c r="C10" s="2">
        <f>COUNTIF(Log!$D$2:$D$17304,A10)</f>
        <v/>
      </c>
    </row>
    <row r="11">
      <c r="A11" s="2" t="inlineStr">
        <is>
          <t>Tempton Personaldienstleistungen GmbH NL Ludwigsburg</t>
        </is>
      </c>
      <c r="B11" s="2">
        <f>COUNTIFS(Log!$D$2:$D$17304,A11,Log!$F$2:$F$17304,Zusammenfassung!$B$2)</f>
        <v/>
      </c>
      <c r="C11" s="2">
        <f>COUNTIF(Log!$D$2:$D$17304,A11)</f>
        <v/>
      </c>
    </row>
    <row r="12">
      <c r="A12" s="2" t="inlineStr">
        <is>
          <t>K-Plus Personalmanagement GmbH</t>
        </is>
      </c>
      <c r="B12" s="2">
        <f>COUNTIFS(Log!$D$2:$D$17304,A12,Log!$F$2:$F$17304,Zusammenfassung!$B$2)</f>
        <v/>
      </c>
      <c r="C12" s="2">
        <f>COUNTIF(Log!$D$2:$D$17304,A12)</f>
        <v/>
      </c>
    </row>
    <row r="13">
      <c r="A13" s="2" t="inlineStr">
        <is>
          <t>Randstad Deutschland</t>
        </is>
      </c>
      <c r="B13" s="2">
        <f>COUNTIFS(Log!$D$2:$D$17304,A13,Log!$F$2:$F$17304,Zusammenfassung!$B$2)</f>
        <v/>
      </c>
      <c r="C13" s="2">
        <f>COUNTIF(Log!$D$2:$D$17304,A13)</f>
        <v/>
      </c>
    </row>
    <row r="14">
      <c r="A14" s="2" t="inlineStr">
        <is>
          <t>PSAV Personalserv.&amp;Arbeitsverm</t>
        </is>
      </c>
      <c r="B14" s="2">
        <f>COUNTIFS(Log!$D$2:$D$17304,A14,Log!$F$2:$F$17304,Zusammenfassung!$B$2)</f>
        <v/>
      </c>
      <c r="C14" s="2">
        <f>COUNTIF(Log!$D$2:$D$17304,A14)</f>
        <v/>
      </c>
    </row>
    <row r="15">
      <c r="A15" s="2" t="inlineStr">
        <is>
          <t>Tempton Personaldienstleistungen GmbH NL Aalen</t>
        </is>
      </c>
      <c r="B15" s="2">
        <f>COUNTIFS(Log!$D$2:$D$17304,A15,Log!$F$2:$F$17304,Zusammenfassung!$B$2)</f>
        <v/>
      </c>
      <c r="C15" s="2">
        <f>COUNTIF(Log!$D$2:$D$17304,A15)</f>
        <v/>
      </c>
    </row>
    <row r="16">
      <c r="A16" s="2" t="inlineStr">
        <is>
          <t>tempoZeitarbeit GmbH</t>
        </is>
      </c>
      <c r="B16" s="2">
        <f>COUNTIFS(Log!$D$2:$D$17304,A16,Log!$F$2:$F$17304,Zusammenfassung!$B$2)</f>
        <v/>
      </c>
      <c r="C16" s="2">
        <f>COUNTIF(Log!$D$2:$D$17304,A16)</f>
        <v/>
      </c>
    </row>
    <row r="17">
      <c r="A17" s="2" t="inlineStr">
        <is>
          <t>REWE Markt GmbH ZwNL Südwest</t>
        </is>
      </c>
      <c r="B17" s="2">
        <f>COUNTIFS(Log!$D$2:$D$17304,A17,Log!$F$2:$F$17304,Zusammenfassung!$B$2)</f>
        <v/>
      </c>
      <c r="C17" s="2">
        <f>COUNTIF(Log!$D$2:$D$17304,A17)</f>
        <v/>
      </c>
    </row>
    <row r="18">
      <c r="A18" s="2" t="inlineStr">
        <is>
          <t>Diakonie Stetten e.V.</t>
        </is>
      </c>
      <c r="B18" s="2">
        <f>COUNTIFS(Log!$D$2:$D$17304,A18,Log!$F$2:$F$17304,Zusammenfassung!$B$2)</f>
        <v/>
      </c>
      <c r="C18" s="2">
        <f>COUNTIF(Log!$D$2:$D$17304,A18)</f>
        <v/>
      </c>
    </row>
    <row r="19">
      <c r="A19" s="2" t="inlineStr">
        <is>
          <t>Kliniken Ostalb</t>
        </is>
      </c>
      <c r="B19" s="2">
        <f>COUNTIFS(Log!$D$2:$D$17304,A19,Log!$F$2:$F$17304,Zusammenfassung!$B$2)</f>
        <v/>
      </c>
      <c r="C19" s="2">
        <f>COUNTIF(Log!$D$2:$D$17304,A19)</f>
        <v/>
      </c>
    </row>
    <row r="20">
      <c r="A20" s="2" t="inlineStr">
        <is>
          <t>TOP Personaldienstleistungen GmbH</t>
        </is>
      </c>
      <c r="B20" s="2">
        <f>COUNTIFS(Log!$D$2:$D$17304,A20,Log!$F$2:$F$17304,Zusammenfassung!$B$2)</f>
        <v/>
      </c>
      <c r="C20" s="2">
        <f>COUNTIF(Log!$D$2:$D$17304,A20)</f>
        <v/>
      </c>
    </row>
    <row r="21">
      <c r="A21" s="2" t="inlineStr">
        <is>
          <t>tempster GmbH</t>
        </is>
      </c>
      <c r="B21" s="2">
        <f>COUNTIFS(Log!$D$2:$D$17304,A21,Log!$F$2:$F$17304,Zusammenfassung!$B$2)</f>
        <v/>
      </c>
      <c r="C21" s="2">
        <f>COUNTIF(Log!$D$2:$D$17304,A21)</f>
        <v/>
      </c>
    </row>
    <row r="22">
      <c r="A22" s="2" t="inlineStr">
        <is>
          <t>Waiblinger Zeitarbeit GmbH</t>
        </is>
      </c>
      <c r="B22" s="2">
        <f>COUNTIFS(Log!$D$2:$D$17304,A22,Log!$F$2:$F$17304,Zusammenfassung!$B$2)</f>
        <v/>
      </c>
      <c r="C22" s="2">
        <f>COUNTIF(Log!$D$2:$D$17304,A22)</f>
        <v/>
      </c>
    </row>
    <row r="23">
      <c r="A23" s="2" t="inlineStr">
        <is>
          <t>REWE</t>
        </is>
      </c>
      <c r="B23" s="2">
        <f>COUNTIFS(Log!$D$2:$D$17304,A23,Log!$F$2:$F$17304,Zusammenfassung!$B$2)</f>
        <v/>
      </c>
      <c r="C23" s="2">
        <f>COUNTIF(Log!$D$2:$D$17304,A23)</f>
        <v/>
      </c>
    </row>
    <row r="24">
      <c r="A24" s="2" t="inlineStr">
        <is>
          <t>Klinikum der Landeshauptstadt Stuttgart gKAöR</t>
        </is>
      </c>
      <c r="B24" s="2">
        <f>COUNTIFS(Log!$D$2:$D$17304,A24,Log!$F$2:$F$17304,Zusammenfassung!$B$2)</f>
        <v/>
      </c>
      <c r="C24" s="2">
        <f>COUNTIF(Log!$D$2:$D$17304,A24)</f>
        <v/>
      </c>
    </row>
    <row r="25">
      <c r="A25" s="2" t="inlineStr">
        <is>
          <t>FERCHAU GmbH Niederlassung Heidenheim</t>
        </is>
      </c>
      <c r="B25" s="2">
        <f>COUNTIFS(Log!$D$2:$D$17304,A25,Log!$F$2:$F$17304,Zusammenfassung!$B$2)</f>
        <v/>
      </c>
      <c r="C25" s="2">
        <f>COUNTIF(Log!$D$2:$D$17304,A25)</f>
        <v/>
      </c>
    </row>
    <row r="26">
      <c r="A26" s="2" t="inlineStr">
        <is>
          <t>hsi personaldienste hart &amp; schenk GmbH</t>
        </is>
      </c>
      <c r="B26" s="2">
        <f>COUNTIFS(Log!$D$2:$D$17304,A26,Log!$F$2:$F$17304,Zusammenfassung!$B$2)</f>
        <v/>
      </c>
      <c r="C26" s="2">
        <f>COUNTIF(Log!$D$2:$D$17304,A26)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6" t="inlineStr">
        <is>
          <t>Beruf</t>
        </is>
      </c>
      <c r="B1" s="6" t="inlineStr">
        <is>
          <t>Offene Stellen (aktuell)</t>
        </is>
      </c>
      <c r="C1" s="6" t="inlineStr">
        <is>
          <t>Arbeitslose (manuell, BA-Statistik)</t>
        </is>
      </c>
      <c r="D1" s="6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9" t="n"/>
      <c r="D2" s="10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9" t="n"/>
      <c r="D3" s="10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9" t="n"/>
      <c r="D4" s="10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9" t="n"/>
      <c r="D5" s="10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9" t="n"/>
      <c r="D6" s="10">
        <f>IF(OR(C6="",B6=0),"",ROUND(C6/B6,1))</f>
        <v/>
      </c>
    </row>
    <row r="7">
      <c r="A7" s="2" t="inlineStr">
        <is>
          <t>Helfer/in - Verkauf</t>
        </is>
      </c>
      <c r="B7" s="2">
        <f>Aktuell!F7</f>
        <v/>
      </c>
      <c r="C7" s="9" t="n"/>
      <c r="D7" s="10">
        <f>IF(OR(C7="",B7=0),"",ROUND(C7/B7,1))</f>
        <v/>
      </c>
    </row>
    <row r="8">
      <c r="A8" s="2" t="inlineStr">
        <is>
          <t>Fachkraft - Lagerlogistik</t>
        </is>
      </c>
      <c r="B8" s="2">
        <f>Aktuell!F8</f>
        <v/>
      </c>
      <c r="C8" s="9" t="n"/>
      <c r="D8" s="10">
        <f>IF(OR(C8="",B8=0),"",ROUND(C8/B8,1))</f>
        <v/>
      </c>
    </row>
    <row r="9">
      <c r="A9" s="2" t="inlineStr">
        <is>
          <t>Berufskraftfahrer/in</t>
        </is>
      </c>
      <c r="B9" s="2">
        <f>Aktuell!F9</f>
        <v/>
      </c>
      <c r="C9" s="9" t="n"/>
      <c r="D9" s="10">
        <f>IF(OR(C9="",B9=0),"",ROUND(C9/B9,1))</f>
        <v/>
      </c>
    </row>
    <row r="10">
      <c r="A10" s="2" t="inlineStr">
        <is>
          <t>Lager- und Transportarbeiter/in</t>
        </is>
      </c>
      <c r="B10" s="2">
        <f>Aktuell!F10</f>
        <v/>
      </c>
      <c r="C10" s="9" t="n"/>
      <c r="D10" s="10">
        <f>IF(OR(C10="",B10=0),"",ROUND(C10/B10,1))</f>
        <v/>
      </c>
    </row>
    <row r="11">
      <c r="A11" s="2" t="inlineStr">
        <is>
          <t>Erzieher/in</t>
        </is>
      </c>
      <c r="B11" s="2">
        <f>Aktuell!F11</f>
        <v/>
      </c>
      <c r="C11" s="9" t="n"/>
      <c r="D11" s="10">
        <f>IF(OR(C11="",B11=0),"",ROUND(C11/B11,1))</f>
        <v/>
      </c>
    </row>
    <row r="12">
      <c r="A12" s="2" t="inlineStr">
        <is>
          <t>Helfer/in - Metallbearbeitung</t>
        </is>
      </c>
      <c r="B12" s="2">
        <f>Aktuell!F12</f>
        <v/>
      </c>
      <c r="C12" s="9" t="n"/>
      <c r="D12" s="10">
        <f>IF(OR(C12="",B12=0),"",ROUND(C12/B12,1))</f>
        <v/>
      </c>
    </row>
    <row r="13">
      <c r="A13" s="2" t="inlineStr">
        <is>
          <t>Maschinen- und Anlagenführer/in (ohne Angabe des Schwerpunkts)</t>
        </is>
      </c>
      <c r="B13" s="2">
        <f>Aktuell!F13</f>
        <v/>
      </c>
      <c r="C13" s="9" t="n"/>
      <c r="D13" s="10">
        <f>IF(OR(C13="",B13=0),"",ROUND(C13/B13,1))</f>
        <v/>
      </c>
    </row>
    <row r="14">
      <c r="A14" s="2" t="inlineStr">
        <is>
          <t>Zerspanungsmechaniker/in</t>
        </is>
      </c>
      <c r="B14" s="2">
        <f>Aktuell!F14</f>
        <v/>
      </c>
      <c r="C14" s="9" t="n"/>
      <c r="D14" s="10">
        <f>IF(OR(C14="",B14=0),"",ROUND(C14/B14,1))</f>
        <v/>
      </c>
    </row>
    <row r="15">
      <c r="A15" s="2" t="inlineStr">
        <is>
          <t>Altenpfleger/in</t>
        </is>
      </c>
      <c r="B15" s="2">
        <f>Aktuell!F15</f>
        <v/>
      </c>
      <c r="C15" s="9" t="n"/>
      <c r="D15" s="10">
        <f>IF(OR(C15="",B15=0),"",ROUND(C15/B15,1))</f>
        <v/>
      </c>
    </row>
    <row r="16">
      <c r="A16" s="2" t="inlineStr">
        <is>
          <t>Mechatroniker/in</t>
        </is>
      </c>
      <c r="B16" s="2">
        <f>Aktuell!F16</f>
        <v/>
      </c>
      <c r="C16" s="9" t="n"/>
      <c r="D16" s="10">
        <f>IF(OR(C16="",B16=0),"",ROUND(C16/B16,1))</f>
        <v/>
      </c>
    </row>
    <row r="17">
      <c r="A17" s="2" t="inlineStr">
        <is>
          <t>Filialleiter/in, Verkaufsstellenleiter/in</t>
        </is>
      </c>
      <c r="B17" s="2">
        <f>Aktuell!F17</f>
        <v/>
      </c>
      <c r="C17" s="9" t="n"/>
      <c r="D17" s="10">
        <f>IF(OR(C17="",B17=0),"",ROUND(C17/B17,1))</f>
        <v/>
      </c>
    </row>
    <row r="18">
      <c r="A18" s="2" t="inlineStr">
        <is>
          <t>Ingenieur/in - Elektrotechnik</t>
        </is>
      </c>
      <c r="B18" s="2">
        <f>Aktuell!F18</f>
        <v/>
      </c>
      <c r="C18" s="9" t="n"/>
      <c r="D18" s="10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9" t="n"/>
      <c r="D19" s="10">
        <f>IF(OR(C19="",B19=0),"",ROUND(C19/B19,1))</f>
        <v/>
      </c>
    </row>
    <row r="20">
      <c r="A20" s="2" t="inlineStr">
        <is>
          <t>Fachlagerist/in</t>
        </is>
      </c>
      <c r="B20" s="2">
        <f>Aktuell!F20</f>
        <v/>
      </c>
      <c r="C20" s="9" t="n"/>
      <c r="D20" s="10">
        <f>IF(OR(C20="",B20=0),"",ROUND(C20/B20,1))</f>
        <v/>
      </c>
    </row>
    <row r="21">
      <c r="A21" s="2" t="inlineStr">
        <is>
          <t>Gesundheits- und Krankenpfleger/in</t>
        </is>
      </c>
      <c r="B21" s="2">
        <f>Aktuell!F21</f>
        <v/>
      </c>
      <c r="C21" s="9" t="n"/>
      <c r="D21" s="10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2026-07-10T19:44:05Z</dcterms:created>
  <dcterms:modified xsi:type="dcterms:W3CDTF">2026-07-10T19:44:09Z</dcterms:modified>
</cp:coreProperties>
</file>